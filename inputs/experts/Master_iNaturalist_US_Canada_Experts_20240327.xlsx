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aturalist_Experts_US_Canada" sheetId="1" r:id="rId5"/>
    <sheet state="visible" name="Taxa_Not_Identifiable_w_Photos_" sheetId="2" r:id="rId6"/>
    <sheet state="visible" name="Summary Statistics" sheetId="3" r:id="rId7"/>
  </sheets>
  <definedNames>
    <definedName hidden="1" localSheetId="0" name="_xlnm._FilterDatabase">iNaturalist_Experts_US_Canada!$A$1:$P$746</definedName>
  </definedNames>
  <calcPr/>
</workbook>
</file>

<file path=xl/sharedStrings.xml><?xml version="1.0" encoding="utf-8"?>
<sst xmlns="http://schemas.openxmlformats.org/spreadsheetml/2006/main" count="5661" uniqueCount="2502">
  <si>
    <t>Name</t>
  </si>
  <si>
    <t>iNaturalist_username</t>
  </si>
  <si>
    <t>iNaturalist_name</t>
  </si>
  <si>
    <t>iNaturalist_id</t>
  </si>
  <si>
    <t>NatureServe Network Staff Status</t>
  </si>
  <si>
    <t>Organization</t>
  </si>
  <si>
    <t>Title</t>
  </si>
  <si>
    <t>Taxonomic Expertise</t>
  </si>
  <si>
    <t>Expertise LU</t>
  </si>
  <si>
    <t>Comments on Taxonomic Expertise</t>
  </si>
  <si>
    <t>Region of Expertise</t>
  </si>
  <si>
    <t>Source (past efforts or name and email)</t>
  </si>
  <si>
    <t>No_Observations</t>
  </si>
  <si>
    <t>No_Identifications</t>
  </si>
  <si>
    <t>No_Species</t>
  </si>
  <si>
    <t>Curator</t>
  </si>
  <si>
    <t>Alexandre Anctil</t>
  </si>
  <si>
    <t>a_anctil</t>
  </si>
  <si>
    <t>No</t>
  </si>
  <si>
    <t>Quebec CDC</t>
  </si>
  <si>
    <t>Coordonnator - fauna component</t>
  </si>
  <si>
    <t>Vertebrates|Birds</t>
  </si>
  <si>
    <t>A%</t>
  </si>
  <si>
    <t>NB, NS, PE</t>
  </si>
  <si>
    <t>Canadian Node Expert List</t>
  </si>
  <si>
    <t>Andrea Benville</t>
  </si>
  <si>
    <t>a_b</t>
  </si>
  <si>
    <t>Current</t>
  </si>
  <si>
    <t>Saskatchewan Conservation Data Centre</t>
  </si>
  <si>
    <t>2020 network survey on iNaturalist</t>
  </si>
  <si>
    <t>Alison Smith</t>
  </si>
  <si>
    <t>a_smith</t>
  </si>
  <si>
    <t>Ontario Natural Heritage Information Centre</t>
  </si>
  <si>
    <t>Natural Heritage Zoologist</t>
  </si>
  <si>
    <t>NatureServe Network Staff List</t>
  </si>
  <si>
    <t>Aaron Liston</t>
  </si>
  <si>
    <t>aaronliston</t>
  </si>
  <si>
    <t>Vascular Plants, particularly Astragalus</t>
  </si>
  <si>
    <t>P%</t>
  </si>
  <si>
    <t>MTNHP Expert List</t>
  </si>
  <si>
    <t>curator</t>
  </si>
  <si>
    <t>Aaron Marcus</t>
  </si>
  <si>
    <t>aaronmarcus</t>
  </si>
  <si>
    <t>Former</t>
  </si>
  <si>
    <t>Vascular|Non-vascular Plants</t>
  </si>
  <si>
    <t>P%|NB%</t>
  </si>
  <si>
    <t>Ben Rostron</t>
  </si>
  <si>
    <t>ab_orchid</t>
  </si>
  <si>
    <t>University of Alberta</t>
  </si>
  <si>
    <t>Emeritus Professor</t>
  </si>
  <si>
    <t>Orchidaceae</t>
  </si>
  <si>
    <t>PMORC%</t>
  </si>
  <si>
    <t>AB</t>
  </si>
  <si>
    <t>Canadian Node Expert List and MTNHP Expert List</t>
  </si>
  <si>
    <t>Robin Abernethy</t>
  </si>
  <si>
    <t>aber_r16</t>
  </si>
  <si>
    <t>Northwest Territories Conservation Data Centre</t>
  </si>
  <si>
    <t>GIS and Wildlife Data Specialist</t>
  </si>
  <si>
    <t>Andrew Smith</t>
  </si>
  <si>
    <t>abtsmith</t>
  </si>
  <si>
    <t>Canadian Museum of Nature and the University of Nebraska State Museum.</t>
  </si>
  <si>
    <t>Research Associate</t>
  </si>
  <si>
    <t>Insects|Coleoptera</t>
  </si>
  <si>
    <t>II%</t>
  </si>
  <si>
    <t>Especially Scarabidae</t>
  </si>
  <si>
    <t>MBP Expert List</t>
  </si>
  <si>
    <t>Andrew Christensen</t>
  </si>
  <si>
    <t>achr2</t>
  </si>
  <si>
    <t>Oregon Biodiversity Information Center</t>
  </si>
  <si>
    <t>Watershed GIS Analyst</t>
  </si>
  <si>
    <t>Vascular Plants</t>
  </si>
  <si>
    <t>2024 Network Survey</t>
  </si>
  <si>
    <t>Amanda  Veinotte</t>
  </si>
  <si>
    <t>acveinotte</t>
  </si>
  <si>
    <t>Amanda Veinotte</t>
  </si>
  <si>
    <t>Massachusetts Natural Heritage &amp; Endangered Species Program</t>
  </si>
  <si>
    <t xml:space="preserve">Program Coordinator </t>
  </si>
  <si>
    <t>Adam Durocher</t>
  </si>
  <si>
    <t>adamdurocher</t>
  </si>
  <si>
    <t>Atlantic Canada Conservation Data Centre</t>
  </si>
  <si>
    <t>Newfoundland and Labrador Data Manager</t>
  </si>
  <si>
    <t>Alex Dohman</t>
  </si>
  <si>
    <t>adohman</t>
  </si>
  <si>
    <t>North Dakota Natural Heritage Inventory</t>
  </si>
  <si>
    <t>Biologist</t>
  </si>
  <si>
    <t>Adam Martin</t>
  </si>
  <si>
    <t>ady_m</t>
  </si>
  <si>
    <t>Ecostudies Institute</t>
  </si>
  <si>
    <t>Botanist and Applied Ecologist</t>
  </si>
  <si>
    <t>Vascular Plants|Mammals</t>
  </si>
  <si>
    <t>P%|AM%</t>
  </si>
  <si>
    <t>Ecostudies Institute, Washington</t>
  </si>
  <si>
    <t>Ansel Fiddaman</t>
  </si>
  <si>
    <t>afid</t>
  </si>
  <si>
    <t>NF/LB</t>
  </si>
  <si>
    <t>Alain Belliveau</t>
  </si>
  <si>
    <t>agbelliveau</t>
  </si>
  <si>
    <t>E.C. Smith Herbarium, Acadia University</t>
  </si>
  <si>
    <t>Collections Manager</t>
  </si>
  <si>
    <t>Vascular Plants|Lichens</t>
  </si>
  <si>
    <t>P%|NL%</t>
  </si>
  <si>
    <t>YT, NB, NS, PE</t>
  </si>
  <si>
    <t>Andrew Grosse</t>
  </si>
  <si>
    <t>agrosse</t>
  </si>
  <si>
    <t>South Carolina Department of Natural Resources</t>
  </si>
  <si>
    <t>State Herpetologist</t>
  </si>
  <si>
    <t>Amphibia|Reptilia</t>
  </si>
  <si>
    <t>AA%|AR%</t>
  </si>
  <si>
    <t>SC DNR Herpetologist, 20 years experience, South Carolina</t>
  </si>
  <si>
    <t>Alejandro Huereca Delgado</t>
  </si>
  <si>
    <t>ahuereca</t>
  </si>
  <si>
    <t>Master's Degree Student huerecad@ualberta.ca</t>
  </si>
  <si>
    <t>Lichens and Lichenicolous Fungi</t>
  </si>
  <si>
    <t>NL%</t>
  </si>
  <si>
    <t>Mostly Mexico</t>
  </si>
  <si>
    <t>Denny Bohmer; umbohmer@gmail.com</t>
  </si>
  <si>
    <t>Arturo Santos</t>
  </si>
  <si>
    <t>aispinsects</t>
  </si>
  <si>
    <t>Diptera, particularly Anthomyiidae|Orthoptera</t>
  </si>
  <si>
    <t>IIDIP%|IIORT%</t>
  </si>
  <si>
    <t>Primary expertise with insects of central Florida peninsula and New York.</t>
  </si>
  <si>
    <t>Amy Jewitt</t>
  </si>
  <si>
    <t>ajewitt</t>
  </si>
  <si>
    <t>Pennsylvania Natural Heritage Program</t>
  </si>
  <si>
    <t>Invasive Species Coordinator</t>
  </si>
  <si>
    <t>Invasive species</t>
  </si>
  <si>
    <t>P%|A%|I%</t>
  </si>
  <si>
    <t>Allan Trently</t>
  </si>
  <si>
    <t>ajtrently</t>
  </si>
  <si>
    <t>Trently,Allan J</t>
  </si>
  <si>
    <t>Tennessee Division of Natural Areas</t>
  </si>
  <si>
    <t>Stewardship Ecologist (West TN)</t>
  </si>
  <si>
    <t>Alex Wright</t>
  </si>
  <si>
    <t>ajwright</t>
  </si>
  <si>
    <t>Bellevue Botanical Garden</t>
  </si>
  <si>
    <t>MTNHP Expert List and Canadian Node Expert List</t>
  </si>
  <si>
    <t>Alec Kaisand</t>
  </si>
  <si>
    <t>akaisand</t>
  </si>
  <si>
    <t>NHESP GIS Manager</t>
  </si>
  <si>
    <t>Alan Rockefeller</t>
  </si>
  <si>
    <t>alan_rockefeller</t>
  </si>
  <si>
    <t>Fungi</t>
  </si>
  <si>
    <t>NF%|NL%</t>
  </si>
  <si>
    <t>MTNHP and MBP Expert List</t>
  </si>
  <si>
    <t>Alan Liang</t>
  </si>
  <si>
    <t>alanliang</t>
  </si>
  <si>
    <t>Lepidoptera</t>
  </si>
  <si>
    <t>IILE%</t>
  </si>
  <si>
    <t>Dirk C. Albach</t>
  </si>
  <si>
    <t>albach</t>
  </si>
  <si>
    <t>Veronica</t>
  </si>
  <si>
    <t>PDSCR%</t>
  </si>
  <si>
    <t>The world's foremost Veronica expert.</t>
  </si>
  <si>
    <t>Alex Abair</t>
  </si>
  <si>
    <t>alex_abair</t>
  </si>
  <si>
    <t xml:space="preserve">Lamiaceae (mints) </t>
  </si>
  <si>
    <t>PDLAM%</t>
  </si>
  <si>
    <t>Removed flag due to too many cultivated species.</t>
  </si>
  <si>
    <t>Alex Harman</t>
  </si>
  <si>
    <t>alex_cicindela_guy</t>
  </si>
  <si>
    <t>Santa Barbara Museum of Natural History</t>
  </si>
  <si>
    <t>Schlinger Chair of Entomology</t>
  </si>
  <si>
    <t>Coleoptera|Orthoptera|Lepidoptera</t>
  </si>
  <si>
    <t>IICOL%|IIORT%|IILE%</t>
  </si>
  <si>
    <t>Canadian Node Expert List; updated expertise on 5/9/25 to account for iNat profile update</t>
  </si>
  <si>
    <t>Alexandre Bergeron</t>
  </si>
  <si>
    <t>alexandre_bergeron</t>
  </si>
  <si>
    <t>University of Montreal</t>
  </si>
  <si>
    <t>Botanist</t>
  </si>
  <si>
    <t>NWT</t>
  </si>
  <si>
    <t>Ali Chaney</t>
  </si>
  <si>
    <t>alichaney</t>
  </si>
  <si>
    <t>Nevada Natural Heritage Program</t>
  </si>
  <si>
    <t>Allison Siemens Worsley</t>
  </si>
  <si>
    <t>allisonsw_nsc</t>
  </si>
  <si>
    <t>Allison</t>
  </si>
  <si>
    <t>NatureServe Canada</t>
  </si>
  <si>
    <t>Al Schotz</t>
  </si>
  <si>
    <t>alschotz</t>
  </si>
  <si>
    <t>Alabama Natural Heritage Program</t>
  </si>
  <si>
    <t>Alvan Buckley</t>
  </si>
  <si>
    <t>alvanbuckley</t>
  </si>
  <si>
    <t>General</t>
  </si>
  <si>
    <t>Amaad Blades</t>
  </si>
  <si>
    <t>amaad_blades</t>
  </si>
  <si>
    <t>Georgia Department of Natural Resources</t>
  </si>
  <si>
    <t>Wildlife Technician</t>
  </si>
  <si>
    <t>Amber Nguyen</t>
  </si>
  <si>
    <t>amber42836</t>
  </si>
  <si>
    <t>Michigan Natural Features Inventory</t>
  </si>
  <si>
    <t>Research Assistant</t>
  </si>
  <si>
    <t>Andrew Meeds</t>
  </si>
  <si>
    <t>ameeds</t>
  </si>
  <si>
    <t>Insects</t>
  </si>
  <si>
    <t>Harpo Faust</t>
  </si>
  <si>
    <t>amen2stamens</t>
  </si>
  <si>
    <t>University of New Mexico</t>
  </si>
  <si>
    <t>Herbarium Manager</t>
  </si>
  <si>
    <t>Plants|Pteridophytes</t>
  </si>
  <si>
    <t>Nathan Jones</t>
  </si>
  <si>
    <t>americanisopodologist</t>
  </si>
  <si>
    <t>Nathan T. Jones</t>
  </si>
  <si>
    <t>Isopods</t>
  </si>
  <si>
    <t>ICMAL%</t>
  </si>
  <si>
    <r>
      <rPr/>
      <t xml:space="preserve">Currently writing a field guide to isopods of North America (both aquatic and terrestrial).  </t>
    </r>
    <r>
      <rPr>
        <color rgb="FF1155CC"/>
        <u/>
      </rPr>
      <t>https://www.americanisopodsmyriapods.com/taxonomic-guide-to-isopods-of-north-america</t>
    </r>
  </si>
  <si>
    <t>Bryce Maxell bmaxell@mt.gov on 8/9/24.</t>
  </si>
  <si>
    <t>Amie Enns</t>
  </si>
  <si>
    <t>amieenns_nsc</t>
  </si>
  <si>
    <t>National Data Manager</t>
  </si>
  <si>
    <t>Amy Buthod</t>
  </si>
  <si>
    <t>amybuthod</t>
  </si>
  <si>
    <t>Oklahoma Natural Heritage Inventory</t>
  </si>
  <si>
    <t>Botanical Specialist</t>
  </si>
  <si>
    <t>Plants</t>
  </si>
  <si>
    <t>P%|NB%|NA%</t>
  </si>
  <si>
    <t>Amy Jenkins</t>
  </si>
  <si>
    <t>amyjenkins</t>
  </si>
  <si>
    <t>Florida Natural Areas Inventory</t>
  </si>
  <si>
    <t>Andrew Dudley</t>
  </si>
  <si>
    <t>andrew_dudley</t>
  </si>
  <si>
    <t>Cactus enthusiast</t>
  </si>
  <si>
    <t>Cactaceae</t>
  </si>
  <si>
    <t>PDCAC%</t>
  </si>
  <si>
    <t>Bryce Maxell bmaxell@mt.gov on 6/4/25</t>
  </si>
  <si>
    <t>Andrew Rohrbaugh</t>
  </si>
  <si>
    <t>andrewrohrbaugh</t>
  </si>
  <si>
    <t>Angie Schmidt</t>
  </si>
  <si>
    <t>angschmidt</t>
  </si>
  <si>
    <t>Idaho Natural Heritage Program</t>
  </si>
  <si>
    <t>Program Manager IFWIS</t>
  </si>
  <si>
    <t>Sequoia Wrens</t>
  </si>
  <si>
    <t>aniedes</t>
  </si>
  <si>
    <t>Oonagh</t>
  </si>
  <si>
    <r>
      <rPr/>
      <t xml:space="preserve">Currently writing a field guide to isopods of North America (both aquatic and terrestrial).  </t>
    </r>
    <r>
      <rPr>
        <color rgb="FF1155CC"/>
        <u/>
      </rPr>
      <t>https://www.americanisopodsmyriapods.com/taxonomic-guide-to-isopods-of-north-america</t>
    </r>
  </si>
  <si>
    <t>Anna Strong</t>
  </si>
  <si>
    <t>anna-0</t>
  </si>
  <si>
    <t>anna strong</t>
  </si>
  <si>
    <t>Texas Parks and Wildlife Department Wildlife Diversity Branch</t>
  </si>
  <si>
    <t>Rare Species Botanist</t>
  </si>
  <si>
    <t>Anne Bowser</t>
  </si>
  <si>
    <t>annebowser</t>
  </si>
  <si>
    <t>NatureServe</t>
  </si>
  <si>
    <t>NatureServe Staff List</t>
  </si>
  <si>
    <t>Annie Chang</t>
  </si>
  <si>
    <t>anniexchang</t>
  </si>
  <si>
    <t>California Natural Diversity Database</t>
  </si>
  <si>
    <t>Environmental Scientist</t>
  </si>
  <si>
    <t>Tony Romano</t>
  </si>
  <si>
    <t>anthonyromano</t>
  </si>
  <si>
    <t>Anthony Romano</t>
  </si>
  <si>
    <t>Office of Kentucky Nature Preserves</t>
  </si>
  <si>
    <t>A. Smith</t>
  </si>
  <si>
    <t>apsmith10</t>
  </si>
  <si>
    <t>A Smith</t>
  </si>
  <si>
    <t>Aaron Schusteff</t>
  </si>
  <si>
    <t>arbonius</t>
  </si>
  <si>
    <t>General|Plants|Insects</t>
  </si>
  <si>
    <t>arethusa</t>
  </si>
  <si>
    <t>Vascular Plants|Orchidaceae|Carnivorous Plants</t>
  </si>
  <si>
    <t>SK, QC</t>
  </si>
  <si>
    <t>Patrick Alexander</t>
  </si>
  <si>
    <t>aspidoscelis</t>
  </si>
  <si>
    <t>Bureau of Land Management</t>
  </si>
  <si>
    <t>Plants|Amphibians|Reptiles</t>
  </si>
  <si>
    <t>P%|AA%|AR%</t>
  </si>
  <si>
    <t>BLM Botanist/ecologist, expert in southern New Mexico flora</t>
  </si>
  <si>
    <t>astrobirder</t>
  </si>
  <si>
    <t>Sequoia Janirella Wrens</t>
  </si>
  <si>
    <r>
      <rPr/>
      <t xml:space="preserve">Currently writing a field guide to isopods of North America (both aquatic and terrestrial).  </t>
    </r>
    <r>
      <rPr>
        <color rgb="FF1155CC"/>
        <u/>
      </rPr>
      <t>https://www.americanisopodsmyriapods.com/taxonomic-guide-to-isopods-of-north-america</t>
    </r>
  </si>
  <si>
    <t>Austin Baker</t>
  </si>
  <si>
    <t>austin_baker</t>
  </si>
  <si>
    <t>Insects, especially hymenoptera</t>
  </si>
  <si>
    <t>Austin Smith</t>
  </si>
  <si>
    <t>austinsmith</t>
  </si>
  <si>
    <t>Barnacles</t>
  </si>
  <si>
    <t>ICCIR%</t>
  </si>
  <si>
    <t>Ben Coulter</t>
  </si>
  <si>
    <t>b_coulter</t>
  </si>
  <si>
    <t>Insects, flies, ants, jumping spiders</t>
  </si>
  <si>
    <t>Stephanie Shelton</t>
  </si>
  <si>
    <t>badgerholefarm</t>
  </si>
  <si>
    <t>Stephanie Lee Shelton</t>
  </si>
  <si>
    <t>TXNDD Data Manager</t>
  </si>
  <si>
    <t>Barbara Parris</t>
  </si>
  <si>
    <t>barbaraparris</t>
  </si>
  <si>
    <t>Pteridophyts|Lycophytes</t>
  </si>
  <si>
    <t>PP%</t>
  </si>
  <si>
    <t>Bob Gottfried</t>
  </si>
  <si>
    <t>bayoubob70</t>
  </si>
  <si>
    <t>Natural Diversity Database Program Supervisor</t>
  </si>
  <si>
    <t>Brandon Claridge</t>
  </si>
  <si>
    <t>bclaridge</t>
  </si>
  <si>
    <t>Brandon</t>
  </si>
  <si>
    <t>Ichnuemonidae</t>
  </si>
  <si>
    <t>IIHYM%</t>
  </si>
  <si>
    <t>bdagley</t>
  </si>
  <si>
    <t>Bees</t>
  </si>
  <si>
    <t>Added by Bryce Maxell bmaxell@mt.gov on 2/18/26</t>
  </si>
  <si>
    <t>Bastian Drolshagen</t>
  </si>
  <si>
    <t>bdrolshagen</t>
  </si>
  <si>
    <t>Spiders</t>
  </si>
  <si>
    <t>ILA%</t>
  </si>
  <si>
    <t>Brian Early</t>
  </si>
  <si>
    <t>bearly33</t>
  </si>
  <si>
    <t>Brian-Sean Early</t>
  </si>
  <si>
    <t>Louisiana Wildlife Diversity Program</t>
  </si>
  <si>
    <t>Gary Beauvais</t>
  </si>
  <si>
    <t>beauvais</t>
  </si>
  <si>
    <t>Wyoming Natural Diversity Database</t>
  </si>
  <si>
    <t>Director, WYNDD</t>
  </si>
  <si>
    <t>Vertebrates</t>
  </si>
  <si>
    <t>Lincoln R. Best</t>
  </si>
  <si>
    <t>beesofcanada</t>
  </si>
  <si>
    <t>Ben Ginter</t>
  </si>
  <si>
    <t>ben_ginter</t>
  </si>
  <si>
    <t>Birds</t>
  </si>
  <si>
    <t>AB%</t>
  </si>
  <si>
    <t>YT</t>
  </si>
  <si>
    <t>Ben Benton</t>
  </si>
  <si>
    <t>benbenton01</t>
  </si>
  <si>
    <t>Arkansas Natural Heritage Commission</t>
  </si>
  <si>
    <t>Benoit Dorion</t>
  </si>
  <si>
    <t>benoitdorion</t>
  </si>
  <si>
    <t>Bonnie Heidel</t>
  </si>
  <si>
    <t>bheidel</t>
  </si>
  <si>
    <t>Lead Botanist</t>
  </si>
  <si>
    <t>Ryan Patrick</t>
  </si>
  <si>
    <t>biglaughinggym</t>
  </si>
  <si>
    <t>Bill Nichols</t>
  </si>
  <si>
    <t>bill42</t>
  </si>
  <si>
    <t>New Hampshire Natural Heritage Bureau</t>
  </si>
  <si>
    <t>Ecologist/Botanist</t>
  </si>
  <si>
    <t>Bill Hubick</t>
  </si>
  <si>
    <t>billhubick</t>
  </si>
  <si>
    <t>Bill Reynolds</t>
  </si>
  <si>
    <t>billreynolds</t>
  </si>
  <si>
    <t>William (Bill) Reynolds</t>
  </si>
  <si>
    <t>Insects|esp. cicadas</t>
  </si>
  <si>
    <t>Matt Boone</t>
  </si>
  <si>
    <t>birderboone</t>
  </si>
  <si>
    <t>Data Management Team Lead</t>
  </si>
  <si>
    <t>Betsy Leppo</t>
  </si>
  <si>
    <t>bleppo</t>
  </si>
  <si>
    <t>Invertebrate Zoologist</t>
  </si>
  <si>
    <t>Aaron Hunt</t>
  </si>
  <si>
    <t>blocky</t>
  </si>
  <si>
    <t>Bryan Tronstad</t>
  </si>
  <si>
    <t>bltronstad</t>
  </si>
  <si>
    <t>Invertebrate Collections Manager and Taxonomist</t>
  </si>
  <si>
    <t>Insects|Bees</t>
  </si>
  <si>
    <t>Blaine Mathison</t>
  </si>
  <si>
    <t>bmathison</t>
  </si>
  <si>
    <t>Coleoptera</t>
  </si>
  <si>
    <t>IICOL%</t>
  </si>
  <si>
    <t>Bryce Maxell</t>
  </si>
  <si>
    <t>bmaxell</t>
  </si>
  <si>
    <t>Montana Natural Heritage Program</t>
  </si>
  <si>
    <t>Program Coordinator</t>
  </si>
  <si>
    <t>Vertebrates|Noxious Weeds</t>
  </si>
  <si>
    <t>A%|PDAST2D020|PDBOR0D060|PDLYT090B0|PMIRI090T0|PDEUP0Q0L2|PDASTD2010|PDAST1Y060|PDTAM01080|PDCLU031A0|PDBRA0L020|PDBOR0B070|PDBRA0B010|IMGAS%|PDAST2E090|PMPOA151H0|PDCON05020|PDBOR0B070|PDSCR110F0|PDAST2E090|PDEUP0Q0L2|PDELG01010|PMPOA151H0|PDBOR0D060|PMIRI090T0|PDAST1Y140|PDAST4W0B0|PDEUP0Q0L2|PDSCR110F0|PDCON05020|PDAST4W0B0|PDAST2E090|PDAST4W090|PDAST5V040|PDAST1S040|PDAST92050|PDBRA0B010|PDASTD2010|PDNYM05090|PDAST2J040|AFCJB08010|PMBUT01010|PDAST8H1U0|PMORC17010|PDSOL0Z2C0|PDSOL0G020|PDDIP02010|IMGASD7030|PDBRA0B010|PDAST0J030|PDCAR0U200|PDBRA1B010|PDGER01040|IMGASD7030|IMGAS93050|PDMAL0R040</t>
  </si>
  <si>
    <t>Bob Borth</t>
  </si>
  <si>
    <t>bob_borth</t>
  </si>
  <si>
    <t>Especially Catocala</t>
  </si>
  <si>
    <t>Robert W. Harding</t>
  </si>
  <si>
    <t>bobharding</t>
  </si>
  <si>
    <t>Odonata|Orthoptera|Amphibia|Reptilia</t>
  </si>
  <si>
    <t>IIODO%|IIORT%|AA%|AR%</t>
  </si>
  <si>
    <t>NB, NS, PE, YT, SK</t>
  </si>
  <si>
    <t>Boaz Crees</t>
  </si>
  <si>
    <t>bocrees</t>
  </si>
  <si>
    <t>Avian Specialist</t>
  </si>
  <si>
    <t>NatureServe Network Staff List and MBP Expert List</t>
  </si>
  <si>
    <t>Bonnie Fournier</t>
  </si>
  <si>
    <t>bonny18</t>
  </si>
  <si>
    <t>bonny fournier</t>
  </si>
  <si>
    <t>GIS Analyst</t>
  </si>
  <si>
    <t>Boris Büche</t>
  </si>
  <si>
    <t>borisb</t>
  </si>
  <si>
    <t>Canadian Node Expert List and MBP Expert List</t>
  </si>
  <si>
    <t>Owen Boyle</t>
  </si>
  <si>
    <t>botanizer</t>
  </si>
  <si>
    <t>Wisconsin Natural Heritage Program</t>
  </si>
  <si>
    <t>Species Management Section Manager</t>
  </si>
  <si>
    <t>Amanda Eberly</t>
  </si>
  <si>
    <t>botanygirl</t>
  </si>
  <si>
    <t>Research Botanist</t>
  </si>
  <si>
    <t>Roger McCoy</t>
  </si>
  <si>
    <t>botanyroger</t>
  </si>
  <si>
    <t>Director</t>
  </si>
  <si>
    <t>Brad Lambert</t>
  </si>
  <si>
    <t>bradlambert</t>
  </si>
  <si>
    <t>brad lambert</t>
  </si>
  <si>
    <t>Colorado Natural Heritage Program</t>
  </si>
  <si>
    <t>Zoologist</t>
  </si>
  <si>
    <t>Bradley Rasmussen</t>
  </si>
  <si>
    <t>bradleyfishes</t>
  </si>
  <si>
    <t>Fish</t>
  </si>
  <si>
    <t>AF%</t>
  </si>
  <si>
    <t>BC, YT</t>
  </si>
  <si>
    <t>Brad Oberle</t>
  </si>
  <si>
    <t>bradoberle</t>
  </si>
  <si>
    <t>Shooting Stars in the Genus Dodecatheon</t>
  </si>
  <si>
    <t>PDPRI%</t>
  </si>
  <si>
    <t>Brad Toms</t>
  </si>
  <si>
    <t>bradtoms</t>
  </si>
  <si>
    <t>Mersey Tobeatic Research Institute</t>
  </si>
  <si>
    <t>Wildlife Biologist</t>
  </si>
  <si>
    <t>Amphibians|Reptiles|Lichens</t>
  </si>
  <si>
    <t>AA%|AR%|NL%</t>
  </si>
  <si>
    <t>BC, AB, YT, NF/LB</t>
  </si>
  <si>
    <t>Brandon Woo</t>
  </si>
  <si>
    <t>brandonwoo</t>
  </si>
  <si>
    <t>Texas A&amp;M Univesity</t>
  </si>
  <si>
    <t>Graduate Student</t>
  </si>
  <si>
    <t>Orthoptera</t>
  </si>
  <si>
    <t>IIORT%</t>
  </si>
  <si>
    <t>NL</t>
  </si>
  <si>
    <t>Brenda L. Wichmann</t>
  </si>
  <si>
    <t>brendalwichmann</t>
  </si>
  <si>
    <t>Brenda L Wichmann</t>
  </si>
  <si>
    <t>North Carolina Natural Heritage Program</t>
  </si>
  <si>
    <t>Brent Baker</t>
  </si>
  <si>
    <t>brent_baker</t>
  </si>
  <si>
    <t>Arkansas Natural Heritage Program</t>
  </si>
  <si>
    <t>Gillenia, Hibiscus, Krigia, Liatris, Monarda, Streptanthus, Verbesina, and Vernonia</t>
  </si>
  <si>
    <t>US</t>
  </si>
  <si>
    <t>Brett Albanese</t>
  </si>
  <si>
    <t>brettalbanese</t>
  </si>
  <si>
    <t>Georgia Wildlife Conservation Section</t>
  </si>
  <si>
    <t>Program Manager, SWAP coordinator</t>
  </si>
  <si>
    <t>Brevan Wagner</t>
  </si>
  <si>
    <t>brevan_wagner</t>
  </si>
  <si>
    <t>Bryce Maxell bmaxell@mt.gov 1/22/26</t>
  </si>
  <si>
    <t>Brittney Miller</t>
  </si>
  <si>
    <t>brittney_the_botanist</t>
  </si>
  <si>
    <t>Bryophytes</t>
  </si>
  <si>
    <t>NB%</t>
  </si>
  <si>
    <t>Norbert Sauberer</t>
  </si>
  <si>
    <t>brothernorbert</t>
  </si>
  <si>
    <t>Bruce Young</t>
  </si>
  <si>
    <t>bruce</t>
  </si>
  <si>
    <t>Bruce Bennett</t>
  </si>
  <si>
    <t>brucebennett</t>
  </si>
  <si>
    <t>Retired - Yukon Conservation Data Centre</t>
  </si>
  <si>
    <t>NT/NU/YT/ Northern BC</t>
  </si>
  <si>
    <t>Bruce Newhouse</t>
  </si>
  <si>
    <t>brucen</t>
  </si>
  <si>
    <t>Ecologist</t>
  </si>
  <si>
    <t>Vascular Plants|Fungi|Butterflies</t>
  </si>
  <si>
    <t>P%|NF%|NL%|IILE%</t>
  </si>
  <si>
    <t>5 years in ecological consulting. Fellow of the Native Plant Society of Oregon (and former state pres), co-founder of Cascade Mycological Society, founding member of Eugene-Springfield chapter of the N. American Butterfly Association.</t>
  </si>
  <si>
    <t>Bruce Schneider</t>
  </si>
  <si>
    <t>bschneidergis</t>
  </si>
  <si>
    <t>BRUCE O. SCHNEIDER</t>
  </si>
  <si>
    <t>Washington Natural Heritage Program</t>
  </si>
  <si>
    <t>Natural Heritage Database Manager/Developer &amp; GIS Analyst</t>
  </si>
  <si>
    <t>Bob Sivinski</t>
  </si>
  <si>
    <t>bsivinski</t>
  </si>
  <si>
    <t>Private contractor, former State Botanist for New Mexico.  40 years of field experience in New Mexico and adjacent states.</t>
  </si>
  <si>
    <t>Brian Streets</t>
  </si>
  <si>
    <t>bstreets</t>
  </si>
  <si>
    <t>Brian</t>
  </si>
  <si>
    <t>West Virginia Natural Heritage Program</t>
  </si>
  <si>
    <t>Data Manager and Associate Ecologist</t>
  </si>
  <si>
    <t>Burke Korol</t>
  </si>
  <si>
    <t>burke_korol</t>
  </si>
  <si>
    <t>J. Burke Korol</t>
  </si>
  <si>
    <t>General|Vascular Plants|Birds</t>
  </si>
  <si>
    <t>MSc in Plant Ecology/Taxonomy - nearly 40 years of botany in Canada; currently a professional botanist</t>
  </si>
  <si>
    <t>Patrick Gorring</t>
  </si>
  <si>
    <t>bycidman</t>
  </si>
  <si>
    <t>Long-horned Beetles</t>
  </si>
  <si>
    <t>Especially the genus Monochamus (Pine Sawyers).</t>
  </si>
  <si>
    <t>Nick Wilson</t>
  </si>
  <si>
    <t>c00kstrait</t>
  </si>
  <si>
    <t>Caity Sims</t>
  </si>
  <si>
    <t>caitysims</t>
  </si>
  <si>
    <t>Shaw Nature Reserve in Missouri</t>
  </si>
  <si>
    <t>Botanist/Restoration Ecologist</t>
  </si>
  <si>
    <t>Botanical background mainly from Arkansas and Missouri.</t>
  </si>
  <si>
    <t>Timothy Frey</t>
  </si>
  <si>
    <t>calconey</t>
  </si>
  <si>
    <t>Insects, especially gall-making insects</t>
  </si>
  <si>
    <t>calebcam</t>
  </si>
  <si>
    <t>Salticidae (Jumping Spiders)</t>
  </si>
  <si>
    <t>ILARA%</t>
  </si>
  <si>
    <t>Cameron Eckert</t>
  </si>
  <si>
    <t>camerondeckert</t>
  </si>
  <si>
    <t>Michael Seymour</t>
  </si>
  <si>
    <t>caprimulgus</t>
  </si>
  <si>
    <t>Data Manager/Supervisor</t>
  </si>
  <si>
    <t>Carie Voss</t>
  </si>
  <si>
    <t>caremarie</t>
  </si>
  <si>
    <t>Carrie Voss</t>
  </si>
  <si>
    <t>Richard Gardner</t>
  </si>
  <si>
    <t>carex_rick</t>
  </si>
  <si>
    <t>Ohio Natural Heritage Database</t>
  </si>
  <si>
    <t>Chief Botanist</t>
  </si>
  <si>
    <t>Carol Hall</t>
  </si>
  <si>
    <t>carol-hall</t>
  </si>
  <si>
    <t>Minnesota Natural Heritage Program</t>
  </si>
  <si>
    <t>Herpetologist</t>
  </si>
  <si>
    <t>Carol Ann Vermeer</t>
  </si>
  <si>
    <t>carolannvermeer</t>
  </si>
  <si>
    <t>Carol</t>
  </si>
  <si>
    <t>Carson Mays</t>
  </si>
  <si>
    <t>carsonmays</t>
  </si>
  <si>
    <t>Virginia Division of Natural HeritageÃ‚Â </t>
  </si>
  <si>
    <t>Project Review Assistant</t>
  </si>
  <si>
    <t>Catherine C. Galley</t>
  </si>
  <si>
    <t>catherine_g</t>
  </si>
  <si>
    <t>Diptera</t>
  </si>
  <si>
    <t>IIDIP%</t>
  </si>
  <si>
    <t>BC, NB, NS, PE</t>
  </si>
  <si>
    <t>Nicholas Wei</t>
  </si>
  <si>
    <t>catullus</t>
  </si>
  <si>
    <t>SK</t>
  </si>
  <si>
    <t>Charles Durham Bird</t>
  </si>
  <si>
    <t>cbird_2</t>
  </si>
  <si>
    <t>Dr. Charles Durham Bird</t>
  </si>
  <si>
    <t>University of Calgary</t>
  </si>
  <si>
    <t>Botany Professor</t>
  </si>
  <si>
    <t>Vascular Plants|Fungi</t>
  </si>
  <si>
    <t>P%|NF%|NL%</t>
  </si>
  <si>
    <t>Chris Buelow</t>
  </si>
  <si>
    <t>cbuelow45</t>
  </si>
  <si>
    <t>chris buelow</t>
  </si>
  <si>
    <t>Restoration Assistant</t>
  </si>
  <si>
    <t>Colin Chapman-Lam</t>
  </si>
  <si>
    <t>cchapman-lam</t>
  </si>
  <si>
    <t>BC, NB, NS, PE, YT</t>
  </si>
  <si>
    <t>Casey Delphia</t>
  </si>
  <si>
    <t>cdelphia</t>
  </si>
  <si>
    <t>Montana State University</t>
  </si>
  <si>
    <t>Chuck Harp</t>
  </si>
  <si>
    <t>cehmoth</t>
  </si>
  <si>
    <t>Moths</t>
  </si>
  <si>
    <t>ILEP%</t>
  </si>
  <si>
    <t>Charley Eiseman</t>
  </si>
  <si>
    <t>ceiseman</t>
  </si>
  <si>
    <t>Lepidoptera|Diptera|Coleoptera|Symphyta|Leaf-miners</t>
  </si>
  <si>
    <t>Caitlin Elam</t>
  </si>
  <si>
    <t>celam24</t>
  </si>
  <si>
    <t>Chantal Iosso</t>
  </si>
  <si>
    <t>chantal54</t>
  </si>
  <si>
    <t>Nevada Division of Natural Heritage</t>
  </si>
  <si>
    <t>Wetlands Program Coordinator</t>
  </si>
  <si>
    <t>Charlie Eichelberger</t>
  </si>
  <si>
    <t>charlie557</t>
  </si>
  <si>
    <t>Terrestrial Zoology Coordinator</t>
  </si>
  <si>
    <t>Jacques Ranger</t>
  </si>
  <si>
    <t>chasseurdeplantes</t>
  </si>
  <si>
    <t>Chelsea Forehead</t>
  </si>
  <si>
    <t>chelsea84369</t>
  </si>
  <si>
    <t>Nebraska Natural Heritage Program</t>
  </si>
  <si>
    <t>Data Manager</t>
  </si>
  <si>
    <t>Cheyenne Herzog- Lowrance</t>
  </si>
  <si>
    <t>cherzoglowrance</t>
  </si>
  <si>
    <t>Cheyenne Herzog-Lowrance</t>
  </si>
  <si>
    <t>Arizona Heritage Data Management System</t>
  </si>
  <si>
    <t>HDMS Data Manager</t>
  </si>
  <si>
    <t>Cheyenne Moore</t>
  </si>
  <si>
    <t>cheyennemoore1</t>
  </si>
  <si>
    <t>Ecological Program Specialist</t>
  </si>
  <si>
    <t>Chris Hoess</t>
  </si>
  <si>
    <t>choess</t>
  </si>
  <si>
    <t>Biology Instructor</t>
  </si>
  <si>
    <t>Vascular Plants|Pteridophytes</t>
  </si>
  <si>
    <t>Chris Angell</t>
  </si>
  <si>
    <t>chrisangell</t>
  </si>
  <si>
    <t>Evolutionary Ecologist</t>
  </si>
  <si>
    <t>Charles Battaglia</t>
  </si>
  <si>
    <t>chuckbatt</t>
  </si>
  <si>
    <t>Biologist 3</t>
  </si>
  <si>
    <t>chuuuuung</t>
  </si>
  <si>
    <t>BugGuide editor.</t>
  </si>
  <si>
    <t>Callen Hyland</t>
  </si>
  <si>
    <t>chyland</t>
  </si>
  <si>
    <t>University of San Diego</t>
  </si>
  <si>
    <t>Biology Professor</t>
  </si>
  <si>
    <t>Hydra</t>
  </si>
  <si>
    <t>IDHYD%</t>
  </si>
  <si>
    <t>Bryce Maxell bmaxell@mt.gov on 9/30/25</t>
  </si>
  <si>
    <t>Claire Ciafré</t>
  </si>
  <si>
    <t>ciafre</t>
  </si>
  <si>
    <t>Vascular Plants|Fabaceae</t>
  </si>
  <si>
    <t>Carla Church</t>
  </si>
  <si>
    <t>cjchurch</t>
  </si>
  <si>
    <t>Manitoba Conservation Data Centre</t>
  </si>
  <si>
    <t>Senior Field Biologist</t>
  </si>
  <si>
    <t>NatureServe Network Staff List and Canadian Node Expert List</t>
  </si>
  <si>
    <t>Christopher Lewis</t>
  </si>
  <si>
    <t>cjlewis</t>
  </si>
  <si>
    <t>B.C. Ministry of Water Land and Resource Stewardship</t>
  </si>
  <si>
    <t>Species at Risk Biologist</t>
  </si>
  <si>
    <t>Lichens</t>
  </si>
  <si>
    <t>Claude Nozères</t>
  </si>
  <si>
    <t>clauden</t>
  </si>
  <si>
    <t>Marine Biologist</t>
  </si>
  <si>
    <t>Catherine Linnen</t>
  </si>
  <si>
    <t>clinnen</t>
  </si>
  <si>
    <t>Sawflies</t>
  </si>
  <si>
    <t>Craig McLane</t>
  </si>
  <si>
    <t>cmclane</t>
  </si>
  <si>
    <t>Montana Fish, Wildlife, and Parks</t>
  </si>
  <si>
    <t>Aquatic Invasive Species</t>
  </si>
  <si>
    <t>Aquatic Invasive Species and other aquatic species they commonly work with</t>
  </si>
  <si>
    <t>A%|I%|P%</t>
  </si>
  <si>
    <t>Brian Acord</t>
  </si>
  <si>
    <t>cnddb_brian</t>
  </si>
  <si>
    <t>Brian A.</t>
  </si>
  <si>
    <t>Sarah Marshall</t>
  </si>
  <si>
    <t>coecohydro</t>
  </si>
  <si>
    <t>Wetland Hydrologist/Ecologist</t>
  </si>
  <si>
    <t>Colin Murray</t>
  </si>
  <si>
    <t>colin_murray</t>
  </si>
  <si>
    <t>Information Manager</t>
  </si>
  <si>
    <t>Colin Jones</t>
  </si>
  <si>
    <t>colindjones</t>
  </si>
  <si>
    <t>ColinDJones</t>
  </si>
  <si>
    <t>Provincial Zoologist</t>
  </si>
  <si>
    <t>Colleen Lutz</t>
  </si>
  <si>
    <t>colleen77</t>
  </si>
  <si>
    <t>New York Natural Heritage Program</t>
  </si>
  <si>
    <t>Assistant Biologist</t>
  </si>
  <si>
    <t>Cora Skaien</t>
  </si>
  <si>
    <t>coraskaien</t>
  </si>
  <si>
    <t>British Columbia Conservation Data Centre</t>
  </si>
  <si>
    <t>Vegetation Ecologist, CDC</t>
  </si>
  <si>
    <t>Connor Dooley</t>
  </si>
  <si>
    <t>corndog</t>
  </si>
  <si>
    <t>Oregon State University</t>
  </si>
  <si>
    <t>Student</t>
  </si>
  <si>
    <t>Bryophytes|Lichens|Fungi</t>
  </si>
  <si>
    <t>NB%|NL%|NF%|NL%</t>
  </si>
  <si>
    <t>Student at OSU. Helped Oregon Biodiversity Information Center with writing fungi/lichen accounts. Member of Oregon Fungal Diversity project.</t>
  </si>
  <si>
    <t>Craig Freeman</t>
  </si>
  <si>
    <t>craig571</t>
  </si>
  <si>
    <t>Kansas Natural Heritage Inventory</t>
  </si>
  <si>
    <t>Coordinator/Botanist</t>
  </si>
  <si>
    <t>Craig Martin</t>
  </si>
  <si>
    <t>craigmartin</t>
  </si>
  <si>
    <t>Retired botanist/ecologist</t>
  </si>
  <si>
    <t>Co-author of Plants of the Jemez Mountains, northern New Mexico flora</t>
  </si>
  <si>
    <t>Craig Whippo</t>
  </si>
  <si>
    <t>craigwhippo</t>
  </si>
  <si>
    <t>Focus on weeds as a Montana State University Weed Extension Specialist</t>
  </si>
  <si>
    <t>Jean-Marc Vallières</t>
  </si>
  <si>
    <t>cramnaejvallieres</t>
  </si>
  <si>
    <t>Plaisance National Park</t>
  </si>
  <si>
    <t>Park Ranger</t>
  </si>
  <si>
    <t>Crispin Guppy</t>
  </si>
  <si>
    <t>crispinguppy</t>
  </si>
  <si>
    <t>Cassandra Robillard</t>
  </si>
  <si>
    <t>crobillard</t>
  </si>
  <si>
    <t>Natural Heritage Botanist</t>
  </si>
  <si>
    <t>Christine Terwissen</t>
  </si>
  <si>
    <t>ctersen</t>
  </si>
  <si>
    <t>Project Ecologist</t>
  </si>
  <si>
    <t>Christopher Tracey</t>
  </si>
  <si>
    <t>ctracey</t>
  </si>
  <si>
    <t>David Cuthrell</t>
  </si>
  <si>
    <t>cuthrelld</t>
  </si>
  <si>
    <t>Conservation Scientist - Zoology Heritage Lead</t>
  </si>
  <si>
    <t>Connor Wardrop</t>
  </si>
  <si>
    <t>cwardrop</t>
  </si>
  <si>
    <t>Connor</t>
  </si>
  <si>
    <t>Christopher Warneke</t>
  </si>
  <si>
    <t>cwarneke</t>
  </si>
  <si>
    <t>Asteraceae, primarily thistles</t>
  </si>
  <si>
    <t>PDAST%</t>
  </si>
  <si>
    <t>Charlene Wood</t>
  </si>
  <si>
    <t>cwood</t>
  </si>
  <si>
    <t>Meghan McCormick</t>
  </si>
  <si>
    <t>cyrusdust</t>
  </si>
  <si>
    <t>Utah Natural Heritage Program</t>
  </si>
  <si>
    <t>Daniel Kluza</t>
  </si>
  <si>
    <t>d_kluza</t>
  </si>
  <si>
    <t>Moths and more</t>
  </si>
  <si>
    <t>Damien Joly</t>
  </si>
  <si>
    <t>damienjoly</t>
  </si>
  <si>
    <t>Manager</t>
  </si>
  <si>
    <t>Dan Hannon</t>
  </si>
  <si>
    <t>dan_hannon</t>
  </si>
  <si>
    <t>Natural Areas Protection Specialist and Outreach Coordinator</t>
  </si>
  <si>
    <t>Danavan Rouillard</t>
  </si>
  <si>
    <t>danavan</t>
  </si>
  <si>
    <t>Vascular plants</t>
  </si>
  <si>
    <t>Charlie Davis</t>
  </si>
  <si>
    <t>dancingfrog</t>
  </si>
  <si>
    <t>Derek Anderson</t>
  </si>
  <si>
    <t>danders4</t>
  </si>
  <si>
    <t>Derek S. Anderson</t>
  </si>
  <si>
    <t>Botanist/Plant Ecologist</t>
  </si>
  <si>
    <t>Daniel Handfield</t>
  </si>
  <si>
    <t>danhandfield</t>
  </si>
  <si>
    <t>Daniel Atha</t>
  </si>
  <si>
    <t>danielatha</t>
  </si>
  <si>
    <t>Persicaria</t>
  </si>
  <si>
    <t>PDPGN%</t>
  </si>
  <si>
    <t>Dan L. Johnson</t>
  </si>
  <si>
    <t>danjohnson</t>
  </si>
  <si>
    <t>Invertebrates</t>
  </si>
  <si>
    <t>I%</t>
  </si>
  <si>
    <t>Dan Kraus</t>
  </si>
  <si>
    <t>dankraus</t>
  </si>
  <si>
    <t>Weston Conservation Scientist</t>
  </si>
  <si>
    <t>David Almquist</t>
  </si>
  <si>
    <t>davealmquist</t>
  </si>
  <si>
    <t>Dave Almquist</t>
  </si>
  <si>
    <t>David Enrique Martelo Oliveros</t>
  </si>
  <si>
    <t>david_enrique</t>
  </si>
  <si>
    <t>DAVID ENRIQUE MARTELO OLIVEROS</t>
  </si>
  <si>
    <t>David Lincicome</t>
  </si>
  <si>
    <t>david1412</t>
  </si>
  <si>
    <t>Natural Heritage Program Manager</t>
  </si>
  <si>
    <t>Eastern United States, Tennessee Division of Natural Areas, Conservation Planner</t>
  </si>
  <si>
    <t>David Anderson</t>
  </si>
  <si>
    <t>david2899</t>
  </si>
  <si>
    <t>David F. Fraser</t>
  </si>
  <si>
    <t>davidfraser1-</t>
  </si>
  <si>
    <t>Birds|Vascular Plants</t>
  </si>
  <si>
    <t>AB%|P%</t>
  </si>
  <si>
    <t>David Mazerolle</t>
  </si>
  <si>
    <t>davidmazerolle</t>
  </si>
  <si>
    <t>Dan Bachen</t>
  </si>
  <si>
    <t>dbachen</t>
  </si>
  <si>
    <t>Senior Zoologist</t>
  </si>
  <si>
    <t xml:space="preserve">Intermountain west and Norther Grat Plains </t>
  </si>
  <si>
    <t>Daniel Tucker</t>
  </si>
  <si>
    <t>dbltucker</t>
  </si>
  <si>
    <t>Dan Tucker</t>
  </si>
  <si>
    <t>University of Victoria</t>
  </si>
  <si>
    <t>PhD Candidate</t>
  </si>
  <si>
    <t>Ph.D. project is studying the ecology of mosses and liverworts in neotropical montane cloude forests.</t>
  </si>
  <si>
    <t>David McCorquodale</t>
  </si>
  <si>
    <t>dbmcc09</t>
  </si>
  <si>
    <t>Insects|Hymenoptera|Cicindelidae|Coccinellidae</t>
  </si>
  <si>
    <t>David Burton</t>
  </si>
  <si>
    <t>dburton4444</t>
  </si>
  <si>
    <t>David K Burton</t>
  </si>
  <si>
    <t>Plecoptera|Megaloptera</t>
  </si>
  <si>
    <t>IIPLE%</t>
  </si>
  <si>
    <t>Darren and Claudia Copley</t>
  </si>
  <si>
    <t>dccopley</t>
  </si>
  <si>
    <t>Darren and Claudia</t>
  </si>
  <si>
    <t>Royal B.C. Museum</t>
  </si>
  <si>
    <t>Insects|Arachnids</t>
  </si>
  <si>
    <t>Daniel McClusky</t>
  </si>
  <si>
    <t>ddennism</t>
  </si>
  <si>
    <t>Daniel McClosky</t>
  </si>
  <si>
    <t>Insects, especially gall-forming insects on goldenrod</t>
  </si>
  <si>
    <t>Deanna Dodgson</t>
  </si>
  <si>
    <t>deannadodgson</t>
  </si>
  <si>
    <t>Plants|Insects</t>
  </si>
  <si>
    <t>P%|II%</t>
  </si>
  <si>
    <t>Debbie Webb</t>
  </si>
  <si>
    <t>debbiewebb</t>
  </si>
  <si>
    <t>Conservation Information Specialist</t>
  </si>
  <si>
    <t>Charles Bartlett</t>
  </si>
  <si>
    <t>delphax</t>
  </si>
  <si>
    <t>Fulgoroidea (Planthoppers)</t>
  </si>
  <si>
    <t>IIHEM%</t>
  </si>
  <si>
    <t>Dennis Paulson</t>
  </si>
  <si>
    <t>dennispaulson</t>
  </si>
  <si>
    <t>University of Puget Sound Slater Museum of Natural History</t>
  </si>
  <si>
    <t>Retired Director</t>
  </si>
  <si>
    <t>Odonata|Birds|General Animalia</t>
  </si>
  <si>
    <t>IIODO%</t>
  </si>
  <si>
    <t>Derek Hennen</t>
  </si>
  <si>
    <t>derhennen</t>
  </si>
  <si>
    <t>Millipedes</t>
  </si>
  <si>
    <t>ITUNI%</t>
  </si>
  <si>
    <t>Dwayne Estes</t>
  </si>
  <si>
    <t>destes</t>
  </si>
  <si>
    <t>Southeastern Grasslands Institute</t>
  </si>
  <si>
    <t>Executive Director</t>
  </si>
  <si>
    <t>southeastern US</t>
  </si>
  <si>
    <t>Devin Rodgers</t>
  </si>
  <si>
    <t>devinmrodgers</t>
  </si>
  <si>
    <t>7 years of experience; Geographic areas= Southeastern United States, especially Kentucky and Tennessee</t>
  </si>
  <si>
    <t>Dexter Sowell</t>
  </si>
  <si>
    <t>dextersowell</t>
  </si>
  <si>
    <t>Research Scientist</t>
  </si>
  <si>
    <t>David G Anderson</t>
  </si>
  <si>
    <t>dgander</t>
  </si>
  <si>
    <t>Diane Haughland</t>
  </si>
  <si>
    <t>dianeh</t>
  </si>
  <si>
    <t>Dick Cannings</t>
  </si>
  <si>
    <t>dickcannings</t>
  </si>
  <si>
    <t>Dana Price</t>
  </si>
  <si>
    <t>dlprice</t>
  </si>
  <si>
    <t>Salisbury University</t>
  </si>
  <si>
    <t>Professor</t>
  </si>
  <si>
    <t>David Mitchell</t>
  </si>
  <si>
    <t>dmbotany</t>
  </si>
  <si>
    <t>Don McLelland</t>
  </si>
  <si>
    <t>donmclelland</t>
  </si>
  <si>
    <t>Eric Doucette</t>
  </si>
  <si>
    <t>doucette121</t>
  </si>
  <si>
    <t>Main Natural Areas Program</t>
  </si>
  <si>
    <t>State Botanist</t>
  </si>
  <si>
    <t>PhD in Plant Systematics, 8 years as professor of Botany, 8 years as consulting botanist.</t>
  </si>
  <si>
    <t>Douglas Goldman</t>
  </si>
  <si>
    <t>douggoldman</t>
  </si>
  <si>
    <t>USDA</t>
  </si>
  <si>
    <t>Daniele Pieracci</t>
  </si>
  <si>
    <t>dp_fishbiologist</t>
  </si>
  <si>
    <t>Fish Biologist</t>
  </si>
  <si>
    <t>Freshwater Fish</t>
  </si>
  <si>
    <t>Oliver Keller</t>
  </si>
  <si>
    <t>dr_firefly</t>
  </si>
  <si>
    <t>Fireflies</t>
  </si>
  <si>
    <t>George Foster</t>
  </si>
  <si>
    <t>drdiptera</t>
  </si>
  <si>
    <t>My specialty is the acalyptrates but I can also accurately determine most of the calyptrates and the lower Brachycera at least to genus."</t>
  </si>
  <si>
    <t>Julia Riley</t>
  </si>
  <si>
    <t>drjuliariley</t>
  </si>
  <si>
    <t>Dr. Julia Riley</t>
  </si>
  <si>
    <t>Mark Etheridge</t>
  </si>
  <si>
    <t>drkilmer</t>
  </si>
  <si>
    <t>MBP editor</t>
  </si>
  <si>
    <t>Shawn Dash</t>
  </si>
  <si>
    <t>drshawntdash</t>
  </si>
  <si>
    <t>ShawnT Dash</t>
  </si>
  <si>
    <t>Ants</t>
  </si>
  <si>
    <t>John Kees</t>
  </si>
  <si>
    <t>dryopteris2</t>
  </si>
  <si>
    <t>North Carolina Botanic Garden</t>
  </si>
  <si>
    <t>Especially good with Cyperaceae</t>
  </si>
  <si>
    <t>Dustin Lynch</t>
  </si>
  <si>
    <t>dustin_lynch</t>
  </si>
  <si>
    <t>Aquatic Ecologist</t>
  </si>
  <si>
    <t>Dustin Garig</t>
  </si>
  <si>
    <t>dustingarig</t>
  </si>
  <si>
    <t>Biologist Supervisor</t>
  </si>
  <si>
    <t>Dwayne Sabine</t>
  </si>
  <si>
    <t>dwaynesabine</t>
  </si>
  <si>
    <t>Odonata|Lichens|Freshwater Mussels/Bivalvia</t>
  </si>
  <si>
    <t>IIODO%|NL%|IMBIV%</t>
  </si>
  <si>
    <t>David Gregg</t>
  </si>
  <si>
    <t>dwgregg1</t>
  </si>
  <si>
    <t>Rhode Island Natural History Survey</t>
  </si>
  <si>
    <t>Dave Webb</t>
  </si>
  <si>
    <t>dwwebb</t>
  </si>
  <si>
    <t>David Yeany</t>
  </si>
  <si>
    <t>dyeany2</t>
  </si>
  <si>
    <t>Conservation Planning Specialist / Ornithologist</t>
  </si>
  <si>
    <t>Eric Knopf</t>
  </si>
  <si>
    <t>e-aus-kanada</t>
  </si>
  <si>
    <t>Elliot Smeds</t>
  </si>
  <si>
    <t>easmeds</t>
  </si>
  <si>
    <t>Cicadas</t>
  </si>
  <si>
    <t>IIHOM%</t>
  </si>
  <si>
    <t>See iNaturalist profile</t>
  </si>
  <si>
    <t>Bryce Maxell bmaxell@mt.gov on 12/18/25</t>
  </si>
  <si>
    <t>Even Dankowicz</t>
  </si>
  <si>
    <t>edanko</t>
  </si>
  <si>
    <t>Edwin Guevara</t>
  </si>
  <si>
    <t>edwin105</t>
  </si>
  <si>
    <t>Edwin Guevara Ramos</t>
  </si>
  <si>
    <t>Maryland Natural Heritage Program</t>
  </si>
  <si>
    <t>Outreach and Education Assistant</t>
  </si>
  <si>
    <t>Eric Bauer</t>
  </si>
  <si>
    <t>efb0005</t>
  </si>
  <si>
    <t>Fish and Wildlife Biologist</t>
  </si>
  <si>
    <t>Emily Ferrall</t>
  </si>
  <si>
    <t>eferrall</t>
  </si>
  <si>
    <t>Étienne Lacroix-Carignan</t>
  </si>
  <si>
    <t>elacroix-carignan</t>
  </si>
  <si>
    <t>Étienne Léveillé-Bourret</t>
  </si>
  <si>
    <t>elbourret</t>
  </si>
  <si>
    <t>Researcher and Herbarium Curator</t>
  </si>
  <si>
    <t>Ellison Orcutt</t>
  </si>
  <si>
    <t>ellison</t>
  </si>
  <si>
    <t>Field Zoologist</t>
  </si>
  <si>
    <t>Ellyne Geurts</t>
  </si>
  <si>
    <t>ellyne</t>
  </si>
  <si>
    <t>Emilie Henderson</t>
  </si>
  <si>
    <t>emilieh</t>
  </si>
  <si>
    <t>Modelling Lead</t>
  </si>
  <si>
    <t>Esteban Muldavin</t>
  </si>
  <si>
    <t>emuldavin</t>
  </si>
  <si>
    <t>Natural Heritage New Mexico</t>
  </si>
  <si>
    <t>Director, NHNM</t>
  </si>
  <si>
    <t>Mike Quinn</t>
  </si>
  <si>
    <t>entomike</t>
  </si>
  <si>
    <t>Texas Parks and Wildlife</t>
  </si>
  <si>
    <t>Invertebrate Biologist</t>
  </si>
  <si>
    <t>Invertebrates|Beetles</t>
  </si>
  <si>
    <t>Texas</t>
  </si>
  <si>
    <t>Bryce Maxell bmaxell@mt.gov on 1/14/25</t>
  </si>
  <si>
    <t>Ephraim Zimmerman</t>
  </si>
  <si>
    <t>ephraimz</t>
  </si>
  <si>
    <t>Ecologist/Science Director</t>
  </si>
  <si>
    <t>Ed Alverson</t>
  </si>
  <si>
    <t>eralverson</t>
  </si>
  <si>
    <t>Eric Lamb</t>
  </si>
  <si>
    <t>eric_lamb</t>
  </si>
  <si>
    <t>Eric Wilmot</t>
  </si>
  <si>
    <t>eric_wilmot</t>
  </si>
  <si>
    <t>Erica Oberndorfer</t>
  </si>
  <si>
    <t>ericao</t>
  </si>
  <si>
    <t>Eric Nielsen</t>
  </si>
  <si>
    <t>ericnielsen</t>
  </si>
  <si>
    <t>Remote Sensing Scientist</t>
  </si>
  <si>
    <t>Erin Ritchie</t>
  </si>
  <si>
    <t>erinritchie</t>
  </si>
  <si>
    <t>Science Advisor</t>
  </si>
  <si>
    <t>Erin White</t>
  </si>
  <si>
    <t>erinwhite8</t>
  </si>
  <si>
    <t>Zoologist and Project Coordinator</t>
  </si>
  <si>
    <t>Ernest Williams</t>
  </si>
  <si>
    <t>ernesthwilliams</t>
  </si>
  <si>
    <t>Retired Marine Biologist</t>
  </si>
  <si>
    <t>Marine Organisms</t>
  </si>
  <si>
    <t>A%|I%|NA%</t>
  </si>
  <si>
    <t>I am a retired Professor of Marine Biology with particular interest in isopods parasitic in fishes, aquatic parasitology, aquatic animal health, marine major environmental disturbances including coral reef bleaching. I have more than 500 publications including 4 books, have made almost 7500 dives, have been on 85 scientific and commercial cruises, and have visited many localities around the world for research.</t>
  </si>
  <si>
    <t>Erin Swerdfeger</t>
  </si>
  <si>
    <t>eswerdfeger</t>
  </si>
  <si>
    <t>Emily Szoszorek</t>
  </si>
  <si>
    <t>eszoszorek</t>
  </si>
  <si>
    <t>Senior Conservation Information Assistant</t>
  </si>
  <si>
    <t>Ethan Hughes</t>
  </si>
  <si>
    <t>ethanxr</t>
  </si>
  <si>
    <t>Natural Heritage Field Botanist</t>
  </si>
  <si>
    <t>Kristi DuBois</t>
  </si>
  <si>
    <t>euderma</t>
  </si>
  <si>
    <t>Vertebrates|Moths</t>
  </si>
  <si>
    <t>A%|</t>
  </si>
  <si>
    <t>Eva Ullström</t>
  </si>
  <si>
    <t>eullstrom</t>
  </si>
  <si>
    <t>Young lichenologist but interesting finds, working with Toby on a new species for BC</t>
  </si>
  <si>
    <t>Everett Marshall</t>
  </si>
  <si>
    <t>everett</t>
  </si>
  <si>
    <t>Vermont Natural Heritage Inventory</t>
  </si>
  <si>
    <t>Natural Heritage Information Manager</t>
  </si>
  <si>
    <t>Noah Yawn</t>
  </si>
  <si>
    <t>farkleberry1</t>
  </si>
  <si>
    <t>Fabian A. Boetzl</t>
  </si>
  <si>
    <t>fboetzl</t>
  </si>
  <si>
    <t>Cicindelidae</t>
  </si>
  <si>
    <t>Ffion Cassidy</t>
  </si>
  <si>
    <t>fcassidy</t>
  </si>
  <si>
    <t>Merrill Peterson</t>
  </si>
  <si>
    <t>feralmerrill</t>
  </si>
  <si>
    <t>fishy_tales</t>
  </si>
  <si>
    <t>Sponges, Hydrozoans, Bryozoans</t>
  </si>
  <si>
    <t>IZSPN%|IGLOP%|IDHYD%</t>
  </si>
  <si>
    <t>Bryce Maxell bmaxell@mt.gov on 10/15/25</t>
  </si>
  <si>
    <t>Finn McGhee</t>
  </si>
  <si>
    <t>fmcghee</t>
  </si>
  <si>
    <t>Young botanist but large number of relevant obs, likely takes care in many IDs he has made</t>
  </si>
  <si>
    <t>Frank Price</t>
  </si>
  <si>
    <t>fnprice</t>
  </si>
  <si>
    <t>Frank Etzler</t>
  </si>
  <si>
    <t>frank_e_etzler</t>
  </si>
  <si>
    <t>Montana Department of Agriculture</t>
  </si>
  <si>
    <t>Entomologist</t>
  </si>
  <si>
    <t>Fraser Watson</t>
  </si>
  <si>
    <t>fraserwatson</t>
  </si>
  <si>
    <t>Alfredo Justo</t>
  </si>
  <si>
    <t>fredojusto</t>
  </si>
  <si>
    <t>Chris Friesen</t>
  </si>
  <si>
    <t>friesen5000</t>
  </si>
  <si>
    <t>MBCDC Coordinator</t>
  </si>
  <si>
    <t>Timothy McNitt</t>
  </si>
  <si>
    <t>frondsinhighplaces</t>
  </si>
  <si>
    <t>Pteridophytes</t>
  </si>
  <si>
    <t>Garrett Taylor</t>
  </si>
  <si>
    <t>fungee</t>
  </si>
  <si>
    <t>Fungi|Ascomycetes</t>
  </si>
  <si>
    <t>Laura Guadette</t>
  </si>
  <si>
    <t>gaudettelaura</t>
  </si>
  <si>
    <t>Laura Gaudette</t>
  </si>
  <si>
    <t>Gemma Milly</t>
  </si>
  <si>
    <t>gcmilly</t>
  </si>
  <si>
    <t>Greta Dige</t>
  </si>
  <si>
    <t>gdige10</t>
  </si>
  <si>
    <t>Nonnative Plants</t>
  </si>
  <si>
    <t>Geena Hill</t>
  </si>
  <si>
    <t>geena_hill</t>
  </si>
  <si>
    <t>Guy Lemelin</t>
  </si>
  <si>
    <t>gemlin</t>
  </si>
  <si>
    <t>Dragonflies</t>
  </si>
  <si>
    <t>Sean Frey</t>
  </si>
  <si>
    <t>georectified</t>
  </si>
  <si>
    <t>Birds|Amphibia|Reptila</t>
  </si>
  <si>
    <t>AB%|AA%|AR%</t>
  </si>
  <si>
    <t>Todd Crabtree</t>
  </si>
  <si>
    <t>gizzardscout</t>
  </si>
  <si>
    <t>~20 years experience with Flora of Tennessee with emphasis on the Cumberland Plateau and Central Basin.</t>
  </si>
  <si>
    <t>Tara Carolin</t>
  </si>
  <si>
    <t>glaciertara</t>
  </si>
  <si>
    <t>Gary Rosenberg</t>
  </si>
  <si>
    <t>gparosenberg</t>
  </si>
  <si>
    <t>Mollusks</t>
  </si>
  <si>
    <t>IM%</t>
  </si>
  <si>
    <t>Greg Pohl</t>
  </si>
  <si>
    <t>gpohl</t>
  </si>
  <si>
    <t>Grace McCartha</t>
  </si>
  <si>
    <t>gracemccartha</t>
  </si>
  <si>
    <t>Gray Catanzaro</t>
  </si>
  <si>
    <t>graytreefrog</t>
  </si>
  <si>
    <t>Amphibians|Reptiles|Orthoptera|Smilax (vascular plants)</t>
  </si>
  <si>
    <t>AA%|AR%|IIORT%|PMSMI%</t>
  </si>
  <si>
    <t>Kim Pilarski-Hall</t>
  </si>
  <si>
    <t>greensolstice</t>
  </si>
  <si>
    <t>TVA Natural Heritage Project</t>
  </si>
  <si>
    <t>Wetland &amp; Natural Areas Specialist</t>
  </si>
  <si>
    <t>Greg Lasley</t>
  </si>
  <si>
    <t>greglasley</t>
  </si>
  <si>
    <t>Vladislav Grigorenko</t>
  </si>
  <si>
    <t>grigorenko</t>
  </si>
  <si>
    <t>Trichoptera|Mecoptera|Neuropteroidea</t>
  </si>
  <si>
    <t>IITRI%</t>
  </si>
  <si>
    <t>Tim Haan</t>
  </si>
  <si>
    <t>haanti</t>
  </si>
  <si>
    <t>NHIC Information Analyst</t>
  </si>
  <si>
    <t>Chris A. Hamilton</t>
  </si>
  <si>
    <t>hamiltonlab</t>
  </si>
  <si>
    <t>Dr. Chris A. Hamilton</t>
  </si>
  <si>
    <t>Hanah Huber</t>
  </si>
  <si>
    <t>hanofthewoods</t>
  </si>
  <si>
    <t>Yes</t>
  </si>
  <si>
    <t>Conservation Mycologist</t>
  </si>
  <si>
    <t>Claire Ciafre cciafre@paconserve.org</t>
  </si>
  <si>
    <t>Zach Hawn</t>
  </si>
  <si>
    <t>hawnzd</t>
  </si>
  <si>
    <t>Point Defiance Zoo and Aquarium</t>
  </si>
  <si>
    <t xml:space="preserve">Conservation Engagement Coordinator </t>
  </si>
  <si>
    <t>Invertebrates|Vacular Plants</t>
  </si>
  <si>
    <t>I%|P%</t>
  </si>
  <si>
    <t>All-around naturalist. Focused on Puget Sound area.</t>
  </si>
  <si>
    <t>heatherface</t>
  </si>
  <si>
    <t>Heather Holm</t>
  </si>
  <si>
    <t>heatherholm</t>
  </si>
  <si>
    <t>Pollinators</t>
  </si>
  <si>
    <t>IIHYM%|IILE%</t>
  </si>
  <si>
    <t>Heather Sullivan</t>
  </si>
  <si>
    <t>heathersullivan2</t>
  </si>
  <si>
    <t>Mississippi Natural Heritage Program</t>
  </si>
  <si>
    <t>Paul Freed</t>
  </si>
  <si>
    <t>herpguy</t>
  </si>
  <si>
    <t>Carnegie Museum of Natural History</t>
  </si>
  <si>
    <t>Amphibians|Reptiles</t>
  </si>
  <si>
    <t>hobiecat</t>
  </si>
  <si>
    <t>Papilionoidea</t>
  </si>
  <si>
    <t>IILEP%</t>
  </si>
  <si>
    <t>Kyle Kittelberger</t>
  </si>
  <si>
    <t>hopperdude215</t>
  </si>
  <si>
    <t>Hemiptera</t>
  </si>
  <si>
    <t>Hugh McGuinness</t>
  </si>
  <si>
    <t>hughmcguinness</t>
  </si>
  <si>
    <t>Terrell Hyde</t>
  </si>
  <si>
    <t>hydet</t>
  </si>
  <si>
    <t>Iain Crowell</t>
  </si>
  <si>
    <t>iaincrowell</t>
  </si>
  <si>
    <t>General|Vascular Plants</t>
  </si>
  <si>
    <t>Ian Abernethy</t>
  </si>
  <si>
    <t>ian_abernethy</t>
  </si>
  <si>
    <t>Lead Vertebrate Zoologist</t>
  </si>
  <si>
    <t>MS Univ. Wyoming; then Heritage zoology staff in Wyoming for 12 years</t>
  </si>
  <si>
    <t>Ian Foley</t>
  </si>
  <si>
    <t>ian26</t>
  </si>
  <si>
    <t>ian foley</t>
  </si>
  <si>
    <t>Ian Cruickshank</t>
  </si>
  <si>
    <t>iancruickshank</t>
  </si>
  <si>
    <t>Ian Swift</t>
  </si>
  <si>
    <t>ianswift</t>
  </si>
  <si>
    <t>Cerambycidae, Pleocomidae</t>
  </si>
  <si>
    <t>Chris Doffitt</t>
  </si>
  <si>
    <t>idigplants</t>
  </si>
  <si>
    <t>Botanist/Natural Areas Registry Coordinator</t>
  </si>
  <si>
    <t>Irene Weber</t>
  </si>
  <si>
    <t>ijow</t>
  </si>
  <si>
    <t>Vegetation Ecologist</t>
  </si>
  <si>
    <t>Ingolf Askevold</t>
  </si>
  <si>
    <t>ingolfaskevold</t>
  </si>
  <si>
    <t>Canadian Wildlife Service</t>
  </si>
  <si>
    <t>Retired Entomologist</t>
  </si>
  <si>
    <t>Invertebrates|Insects</t>
  </si>
  <si>
    <t>See iNaturalist profile.</t>
  </si>
  <si>
    <t>Bryce Maxell bmaxell@mt.gov 1/14/25</t>
  </si>
  <si>
    <t>Alexander Boldyrev</t>
  </si>
  <si>
    <t>insectamo</t>
  </si>
  <si>
    <t>Insects, especially sawflies</t>
  </si>
  <si>
    <t>Jennifer Ackerfield</t>
  </si>
  <si>
    <t>jackerfield</t>
  </si>
  <si>
    <t>Denver Botanic Gardens</t>
  </si>
  <si>
    <t>Head Curator of Natural History Collections</t>
  </si>
  <si>
    <t>Author of Flora of Colorada 2015, 2022</t>
  </si>
  <si>
    <t>Jackson Means</t>
  </si>
  <si>
    <t>jacksonmeans</t>
  </si>
  <si>
    <t>Jacques Labrecque</t>
  </si>
  <si>
    <t>jacques_labrecque</t>
  </si>
  <si>
    <t>Retired Botanist</t>
  </si>
  <si>
    <t>Jame Amoroso</t>
  </si>
  <si>
    <t>jamelamoroso</t>
  </si>
  <si>
    <t>Jame</t>
  </si>
  <si>
    <t>James Churchill</t>
  </si>
  <si>
    <t>jameschurchill</t>
  </si>
  <si>
    <t>Conservation Data Analyst / Field Biologist</t>
  </si>
  <si>
    <t>General|Lichens</t>
  </si>
  <si>
    <t>P%|A%|I%|NL%</t>
  </si>
  <si>
    <t>James Kameron Mitchell</t>
  </si>
  <si>
    <t>jameskm</t>
  </si>
  <si>
    <t>Mycology PhD (Harvard)</t>
  </si>
  <si>
    <t>Jamie Fenneman</t>
  </si>
  <si>
    <t>jamie_fenneman</t>
  </si>
  <si>
    <t>Ecologic</t>
  </si>
  <si>
    <t>Botanist and Ecologist</t>
  </si>
  <si>
    <t>Vascular Plants|Bryophytes</t>
  </si>
  <si>
    <t>Jason Dombroskie</t>
  </si>
  <si>
    <t>jasondombroskie</t>
  </si>
  <si>
    <t>Jason J. Dombroskie</t>
  </si>
  <si>
    <t>Lepidoptera|Insecta</t>
  </si>
  <si>
    <t>Jason Grant</t>
  </si>
  <si>
    <t>jasonrgrant</t>
  </si>
  <si>
    <t>Botrychium, Gentianaceae</t>
  </si>
  <si>
    <t>PPOPH%|PDGEN%</t>
  </si>
  <si>
    <t>Jack Bindernagel</t>
  </si>
  <si>
    <t>jbindernagel</t>
  </si>
  <si>
    <t>Jimmy Dee</t>
  </si>
  <si>
    <t>jdee</t>
  </si>
  <si>
    <t>Odonata|Cicindelidae</t>
  </si>
  <si>
    <t>IIODO%|IICOL%</t>
  </si>
  <si>
    <t>Janel Johnson</t>
  </si>
  <si>
    <t>jdjohnson</t>
  </si>
  <si>
    <t>Botanist/Web Master</t>
  </si>
  <si>
    <t>Vascular Plants|Pollinators</t>
  </si>
  <si>
    <t>P%|IIHYM%|IILE%</t>
  </si>
  <si>
    <t>NatureServe Network Staff List and MTNHP Expert List</t>
  </si>
  <si>
    <t>Jamey McClinton</t>
  </si>
  <si>
    <t>jdmcclinton</t>
  </si>
  <si>
    <t>Administrator</t>
  </si>
  <si>
    <t>Jim Morefield</t>
  </si>
  <si>
    <t>jdmore</t>
  </si>
  <si>
    <t>Jennifer Doubt</t>
  </si>
  <si>
    <t>jdoubt</t>
  </si>
  <si>
    <t>Lori Skulski</t>
  </si>
  <si>
    <t>je9h</t>
  </si>
  <si>
    <t>Restruct expertise to Alberta.  Followed and trusted by top botanists in the province.</t>
  </si>
  <si>
    <t>Alberta</t>
  </si>
  <si>
    <t>Josh Wasyliw, joshua.wasyliw@gov.ab.ca</t>
  </si>
  <si>
    <t>Jeff Leclere</t>
  </si>
  <si>
    <t>jeff_leclere</t>
  </si>
  <si>
    <t>Jeff LeClere</t>
  </si>
  <si>
    <t>MBS Zoologist</t>
  </si>
  <si>
    <t>Jennifer Haughton</t>
  </si>
  <si>
    <t>jen_haughton</t>
  </si>
  <si>
    <t>Reptiles</t>
  </si>
  <si>
    <t>AR%</t>
  </si>
  <si>
    <t>Dominic Chambers dominic.chambers@environnement.gouv.qc.ca on 1/6/26</t>
  </si>
  <si>
    <t>Jennifer Buchanan</t>
  </si>
  <si>
    <t>jenniferbuchanan</t>
  </si>
  <si>
    <t>South Dakota Natural Heritage Program</t>
  </si>
  <si>
    <t>wildlife diversity biologist</t>
  </si>
  <si>
    <t>Jennifer Heron</t>
  </si>
  <si>
    <t>jennyheron</t>
  </si>
  <si>
    <t>Jess Mullins</t>
  </si>
  <si>
    <t>jessmullins</t>
  </si>
  <si>
    <t>John Gaskin</t>
  </si>
  <si>
    <t>jfgaskin</t>
  </si>
  <si>
    <t>Focus on weeds.</t>
  </si>
  <si>
    <t>Jason Hafstad</t>
  </si>
  <si>
    <t>jhafstad</t>
  </si>
  <si>
    <t>I work closely with NJ Natural Heritage Program but in a different office within the Department.</t>
  </si>
  <si>
    <t>Julie Hart</t>
  </si>
  <si>
    <t>jhart</t>
  </si>
  <si>
    <t>Jeffrey Skevington</t>
  </si>
  <si>
    <t>jhskevington</t>
  </si>
  <si>
    <t>Jeffrey H. Skevington</t>
  </si>
  <si>
    <t>Jim Brighton</t>
  </si>
  <si>
    <t>jimbrighton</t>
  </si>
  <si>
    <t>Maryland Biodiversity Project Cofounder</t>
  </si>
  <si>
    <t>Jim Vanderhorst</t>
  </si>
  <si>
    <t>jimfromthesticks</t>
  </si>
  <si>
    <t>vegetation ecologist</t>
  </si>
  <si>
    <t>Jim Moore</t>
  </si>
  <si>
    <t>jimmoore</t>
  </si>
  <si>
    <t>Jim Moore (Maryland)</t>
  </si>
  <si>
    <t>Arthropods|Birds</t>
  </si>
  <si>
    <t>II%|AB%</t>
  </si>
  <si>
    <t>James Miskelly</t>
  </si>
  <si>
    <t>jimmylegs</t>
  </si>
  <si>
    <t>Vascular Plants|Orthoptera</t>
  </si>
  <si>
    <t>P%|IIORT%</t>
  </si>
  <si>
    <t>Jim Stasz</t>
  </si>
  <si>
    <t>jimstasz</t>
  </si>
  <si>
    <t>Birder20714</t>
  </si>
  <si>
    <t xml:space="preserve">General </t>
  </si>
  <si>
    <t>Jennifer Miller</t>
  </si>
  <si>
    <t>jjmiller</t>
  </si>
  <si>
    <t>Joanna Lemly</t>
  </si>
  <si>
    <t>jlemly</t>
  </si>
  <si>
    <t>Wetland Ecologist</t>
  </si>
  <si>
    <t>John Marino</t>
  </si>
  <si>
    <t>jmarino</t>
  </si>
  <si>
    <t>GIS Applications Developer</t>
  </si>
  <si>
    <t>Jason McNees</t>
  </si>
  <si>
    <t>jmcnees_dmv</t>
  </si>
  <si>
    <t>Jessica Mcpherson</t>
  </si>
  <si>
    <t>jmcpherson</t>
  </si>
  <si>
    <t>Jennifer Dean</t>
  </si>
  <si>
    <t>jmdean</t>
  </si>
  <si>
    <t>Invasive Species Biologist</t>
  </si>
  <si>
    <t>Jonathan Gagnon</t>
  </si>
  <si>
    <t>jo_gagnon</t>
  </si>
  <si>
    <t>Joanna Wilson</t>
  </si>
  <si>
    <t>joanna345</t>
  </si>
  <si>
    <t>Wildlife Biologist (Species at Risk)</t>
  </si>
  <si>
    <t>Joanne Russo</t>
  </si>
  <si>
    <t>joannerusso</t>
  </si>
  <si>
    <t>Jo and Bob Solem</t>
  </si>
  <si>
    <t>jobobsolem</t>
  </si>
  <si>
    <t>Joanne and Robert Solem</t>
  </si>
  <si>
    <t>Fungi|Odonata|Birds</t>
  </si>
  <si>
    <t>NF%|IIODO%|AB%</t>
  </si>
  <si>
    <t>Joe DiMeglio</t>
  </si>
  <si>
    <t>joe_dimeglio</t>
  </si>
  <si>
    <t>Lichenologist in the Pacific Northwest of North America that specializes in taxonomy and phylogeny of the Peltigeraceae and the Megasporaceae.</t>
  </si>
  <si>
    <t>Joe Bartok</t>
  </si>
  <si>
    <t>joebartok</t>
  </si>
  <si>
    <t>Joe Matanzas</t>
  </si>
  <si>
    <t>joemat</t>
  </si>
  <si>
    <t>Joey Thompson</t>
  </si>
  <si>
    <t>joey_t</t>
  </si>
  <si>
    <t>John Paskus</t>
  </si>
  <si>
    <t>john5170</t>
  </si>
  <si>
    <t>Lead Conservation Planner</t>
  </si>
  <si>
    <t>John Ascher</t>
  </si>
  <si>
    <t>johnascher</t>
  </si>
  <si>
    <t>John S. Ascher</t>
  </si>
  <si>
    <t>National University of Singapore</t>
  </si>
  <si>
    <t>Assistant Professor</t>
  </si>
  <si>
    <t>Hymenoptera</t>
  </si>
  <si>
    <t>Global expert on bees</t>
  </si>
  <si>
    <t>Canadian Node Expert List, MTNHP Expert List, and MBP Expert List</t>
  </si>
  <si>
    <t>John Hall</t>
  </si>
  <si>
    <t>johnbotany</t>
  </si>
  <si>
    <t>Plants|Algae</t>
  </si>
  <si>
    <t>P%|NA%</t>
  </si>
  <si>
    <t>John Reynolds</t>
  </si>
  <si>
    <t>johndreynolds</t>
  </si>
  <si>
    <t>John D Reynolds</t>
  </si>
  <si>
    <t>John H. McDonald</t>
  </si>
  <si>
    <t>johnhmcdonald</t>
  </si>
  <si>
    <t>Bivalves|Amphipods|Isopods</t>
  </si>
  <si>
    <t>IMBIV%|ICMAL%</t>
  </si>
  <si>
    <t>Mussels (Mytilus); talitrid amphipods (Megalorchestia, Talorchestia, Traskorchestia, Platorchestia); oniscid isopods (Armadillidium, Oniscus, Philoscia, Porcellio, Trachelipus).</t>
  </si>
  <si>
    <t>John Klymko</t>
  </si>
  <si>
    <t>johnklymko</t>
  </si>
  <si>
    <t>General|Arthropoda|Diptera|Odonata|Hymenoptera|Papilionoidea</t>
  </si>
  <si>
    <t>John Plischke</t>
  </si>
  <si>
    <t>johnplischke</t>
  </si>
  <si>
    <t>John Townsend</t>
  </si>
  <si>
    <t>johntownsend</t>
  </si>
  <si>
    <t>Virgina Natural Heritage Program</t>
  </si>
  <si>
    <t>Senior Botanist</t>
  </si>
  <si>
    <t>23 years experience with the Flora of Virginia and Southeastern U.S.</t>
  </si>
  <si>
    <t>John Wilker</t>
  </si>
  <si>
    <t>johnwilker</t>
  </si>
  <si>
    <t>Illinois Natural Heritage Program</t>
  </si>
  <si>
    <t>Natural Areas Program Manager</t>
  </si>
  <si>
    <t>John Burkhart</t>
  </si>
  <si>
    <t>johnyboyburkhart</t>
  </si>
  <si>
    <t>Jonah Evans</t>
  </si>
  <si>
    <t>jonahevans</t>
  </si>
  <si>
    <t>Mammalogist</t>
  </si>
  <si>
    <t>Mammals</t>
  </si>
  <si>
    <t>AM%</t>
  </si>
  <si>
    <t>Jonathan Frank</t>
  </si>
  <si>
    <t>jonaleef</t>
  </si>
  <si>
    <t>20+ years experience collecting and identifying wild fungi, including DNA sequencing and phylogenetic analyses</t>
  </si>
  <si>
    <t>Josh Wasyliw</t>
  </si>
  <si>
    <t>josh_vasy</t>
  </si>
  <si>
    <t>Alberta Conservation Information Management System</t>
  </si>
  <si>
    <t>ACIMS Biologist</t>
  </si>
  <si>
    <t>Joshua Lincoln</t>
  </si>
  <si>
    <t>joshualincoln</t>
  </si>
  <si>
    <t>Odonata</t>
  </si>
  <si>
    <t>Joshua Wagoner</t>
  </si>
  <si>
    <t>joshwagoner</t>
  </si>
  <si>
    <t>Joe Giersch</t>
  </si>
  <si>
    <t>jowegrrrsh</t>
  </si>
  <si>
    <t>Jozien Keijzer</t>
  </si>
  <si>
    <t>jozien</t>
  </si>
  <si>
    <t>Mosses|Lichens|Wildflowers</t>
  </si>
  <si>
    <t>NB%|NL%|P%</t>
  </si>
  <si>
    <t>Joshua Cohen</t>
  </si>
  <si>
    <t>jpc071997</t>
  </si>
  <si>
    <t>Lead Ecologist</t>
  </si>
  <si>
    <t>Jocelyn Pender</t>
  </si>
  <si>
    <t>jpend</t>
  </si>
  <si>
    <t>Conservation Data Analyst</t>
  </si>
  <si>
    <t>Jennifer Poore</t>
  </si>
  <si>
    <t>jpoore</t>
  </si>
  <si>
    <t>John Gallop</t>
  </si>
  <si>
    <t>jrgallop</t>
  </si>
  <si>
    <t>McCallum Environmental Limited</t>
  </si>
  <si>
    <t>Environmental Project Specialist</t>
  </si>
  <si>
    <t>J. Richard Abbott</t>
  </si>
  <si>
    <t>jrichardabbott</t>
  </si>
  <si>
    <t>Generalist with worldwide expertise, currently based in Arkansas</t>
  </si>
  <si>
    <t>Jose Maloles</t>
  </si>
  <si>
    <t>jrmaloles</t>
  </si>
  <si>
    <t>Jason Singhurst</t>
  </si>
  <si>
    <t>jsinghurst</t>
  </si>
  <si>
    <t>Jeff Sorensen</t>
  </si>
  <si>
    <t>jsorensen</t>
  </si>
  <si>
    <t>Arizona Game and Fish Department</t>
  </si>
  <si>
    <t>Invertebrate Wildlife Program Manager</t>
  </si>
  <si>
    <t>Invertebrates|Snails</t>
  </si>
  <si>
    <t>I%|IMGAS%</t>
  </si>
  <si>
    <t>Jason Straka</t>
  </si>
  <si>
    <t>jstraka</t>
  </si>
  <si>
    <t>J Straka</t>
  </si>
  <si>
    <t>Program Ecologist</t>
  </si>
  <si>
    <t>James C. Trager</t>
  </si>
  <si>
    <t>jtrager</t>
  </si>
  <si>
    <t>Julie McLaughlin</t>
  </si>
  <si>
    <t>julieboolie</t>
  </si>
  <si>
    <t>Julie Lundgren</t>
  </si>
  <si>
    <t>julieinthewoods</t>
  </si>
  <si>
    <t>State Parks Ecologist</t>
  </si>
  <si>
    <t>Jeffrey Shultz</t>
  </si>
  <si>
    <t>jwshultz</t>
  </si>
  <si>
    <t>Jeffrey W. Shultz</t>
  </si>
  <si>
    <t>University of Maryland</t>
  </si>
  <si>
    <t>Professor of Entomology</t>
  </si>
  <si>
    <t>Specializes in arachnids, esp. harvestmen.</t>
  </si>
  <si>
    <t>Karen Cieminski</t>
  </si>
  <si>
    <t>kaciemin</t>
  </si>
  <si>
    <t>Natural Heritage Info. System Manager</t>
  </si>
  <si>
    <t>Kai-Philipp Schablewski</t>
  </si>
  <si>
    <t>kai_schablewski</t>
  </si>
  <si>
    <t>Karro Frost</t>
  </si>
  <si>
    <t>karro_frost</t>
  </si>
  <si>
    <t>Conservation Planning Botanist</t>
  </si>
  <si>
    <t>Katrina Cook</t>
  </si>
  <si>
    <t>katrina_cook</t>
  </si>
  <si>
    <t>Zoology Project Manager</t>
  </si>
  <si>
    <t>Amphibians|Aquatic Insects|Pollinators</t>
  </si>
  <si>
    <t>AA%|II%</t>
  </si>
  <si>
    <t>Jesse Miller</t>
  </si>
  <si>
    <t>kawriver</t>
  </si>
  <si>
    <t>Jesse E. D. Miller</t>
  </si>
  <si>
    <t xml:space="preserve">Natural Heritage Botanist </t>
  </si>
  <si>
    <t>Kendra Driscoll</t>
  </si>
  <si>
    <t>kdriscoll</t>
  </si>
  <si>
    <t>Kelly Neal</t>
  </si>
  <si>
    <t>kelly519</t>
  </si>
  <si>
    <t>Stewardship Project Manager</t>
  </si>
  <si>
    <t>Kem Luther</t>
  </si>
  <si>
    <t>kem_luther</t>
  </si>
  <si>
    <t>Macrofungi</t>
  </si>
  <si>
    <t>NF%</t>
  </si>
  <si>
    <t>Ken Allison</t>
  </si>
  <si>
    <t>ken_j_allison</t>
  </si>
  <si>
    <t>Kenda Herman</t>
  </si>
  <si>
    <t>kendarae</t>
  </si>
  <si>
    <t>Botany Data Assistant</t>
  </si>
  <si>
    <t>Kendra Loubere</t>
  </si>
  <si>
    <t>kendrasl</t>
  </si>
  <si>
    <t>Kenneth Geisert</t>
  </si>
  <si>
    <t>kenneth_g</t>
  </si>
  <si>
    <t>North Carolina State University</t>
  </si>
  <si>
    <t>Systematist</t>
  </si>
  <si>
    <t>Beetles</t>
  </si>
  <si>
    <t>Kevin Williams</t>
  </si>
  <si>
    <t>kevinwilliams</t>
  </si>
  <si>
    <t>Mutillidae</t>
  </si>
  <si>
    <t>Author of North America Field Guide to Velvet Ants.  https://press.princeton.edu/books/paperback/9780691212043/velvet-ants-of-north-america</t>
  </si>
  <si>
    <t>Dan Bachen dbachen@mt.gov 5/16/24</t>
  </si>
  <si>
    <t>Kevin Doyle</t>
  </si>
  <si>
    <t>kfdoyle</t>
  </si>
  <si>
    <t>Katie Ferguson</t>
  </si>
  <si>
    <t>kgferg</t>
  </si>
  <si>
    <t>Kirsten Johnson</t>
  </si>
  <si>
    <t>kirsten55</t>
  </si>
  <si>
    <t>Kirsten J</t>
  </si>
  <si>
    <t>MBP Editor</t>
  </si>
  <si>
    <t>Kirstyn Eckhardt</t>
  </si>
  <si>
    <t>kirstynleighe</t>
  </si>
  <si>
    <t>Keng-Lou Hung</t>
  </si>
  <si>
    <t>kjhung</t>
  </si>
  <si>
    <t>Keng-Lou James Hung</t>
  </si>
  <si>
    <t>Heritage Biologist</t>
  </si>
  <si>
    <t>Kevin Judge</t>
  </si>
  <si>
    <t>kjudge</t>
  </si>
  <si>
    <t>Kate Keiser</t>
  </si>
  <si>
    <t>kkeiser</t>
  </si>
  <si>
    <t>Karl Kroeker</t>
  </si>
  <si>
    <t>kkrockytop</t>
  </si>
  <si>
    <t>Kristi Lazar</t>
  </si>
  <si>
    <t>klazar</t>
  </si>
  <si>
    <t>Kurt Kneubig</t>
  </si>
  <si>
    <t>kneubig</t>
  </si>
  <si>
    <t>Kurt Neubig</t>
  </si>
  <si>
    <t>Wrote the paper on Youngia identification in the US.</t>
  </si>
  <si>
    <t>Kurt Miller</t>
  </si>
  <si>
    <t>komille277</t>
  </si>
  <si>
    <t>Brendan Kosnik</t>
  </si>
  <si>
    <t>kosnikb</t>
  </si>
  <si>
    <t>The Nature Conservancy in Arkansas</t>
  </si>
  <si>
    <t>Field Botanist</t>
  </si>
  <si>
    <t>Vascular Plants|Carex</t>
  </si>
  <si>
    <t>Also knows Michigan flora.</t>
  </si>
  <si>
    <t>Kristiina Ovaska</t>
  </si>
  <si>
    <t>kovaska</t>
  </si>
  <si>
    <t>Mollusks|Amphibia</t>
  </si>
  <si>
    <t>IM%|AA%</t>
  </si>
  <si>
    <t>Kraig Korroch</t>
  </si>
  <si>
    <t>kraig</t>
  </si>
  <si>
    <t>Programmer/Technician II</t>
  </si>
  <si>
    <t>Christian Grenier</t>
  </si>
  <si>
    <t>krisskinou</t>
  </si>
  <si>
    <t>Kristin Comolli</t>
  </si>
  <si>
    <t>kristin210</t>
  </si>
  <si>
    <t>Database Analyst</t>
  </si>
  <si>
    <t>Kristin Szabo</t>
  </si>
  <si>
    <t>kristinsz</t>
  </si>
  <si>
    <t>Formerly with Nevada Natural Heritage Program</t>
  </si>
  <si>
    <t>Kate Stone</t>
  </si>
  <si>
    <t>krosestone</t>
  </si>
  <si>
    <t>Danielle Kulas</t>
  </si>
  <si>
    <t>kulasdn</t>
  </si>
  <si>
    <t>Virginia Division of Natural Heritage</t>
  </si>
  <si>
    <t>Kerry Wixted</t>
  </si>
  <si>
    <t>kwixted0</t>
  </si>
  <si>
    <t>Ken Wolgemuth</t>
  </si>
  <si>
    <t>kwolgemuth</t>
  </si>
  <si>
    <t>Kyhl Austin</t>
  </si>
  <si>
    <t>kyhlaustin</t>
  </si>
  <si>
    <t>Lepidoptera|Tortricidiae/Moths</t>
  </si>
  <si>
    <t>Kyle Napier</t>
  </si>
  <si>
    <t>kyle1206</t>
  </si>
  <si>
    <t>Southeastern Regional Nature Preserve Manager</t>
  </si>
  <si>
    <t>Kyle Price</t>
  </si>
  <si>
    <t>kyleprice1</t>
  </si>
  <si>
    <t>Lori A Byrne</t>
  </si>
  <si>
    <t>labyrne</t>
  </si>
  <si>
    <t>lallen</t>
  </si>
  <si>
    <t>Lauren Glorioso</t>
  </si>
  <si>
    <t>laurenglorioso</t>
  </si>
  <si>
    <t>Endangered Species Review Biologist</t>
  </si>
  <si>
    <t>Lea Gelling</t>
  </si>
  <si>
    <t>leagelling</t>
  </si>
  <si>
    <t>Program Zoologist</t>
  </si>
  <si>
    <t>Leah Ramsay</t>
  </si>
  <si>
    <t>leah</t>
  </si>
  <si>
    <t>LeeAnn Latremouille</t>
  </si>
  <si>
    <t>leeann_latremouille</t>
  </si>
  <si>
    <t>Leif Richardson</t>
  </si>
  <si>
    <t>leif_richardson</t>
  </si>
  <si>
    <t>Frédérick Létourneau</t>
  </si>
  <si>
    <t>letourneau_f</t>
  </si>
  <si>
    <t>Lewis Messner</t>
  </si>
  <si>
    <t>lewis_messner</t>
  </si>
  <si>
    <t>Alexis McEwan</t>
  </si>
  <si>
    <t>lex_13</t>
  </si>
  <si>
    <t>Libby and Rick Avis</t>
  </si>
  <si>
    <t>libby_rick_avis</t>
  </si>
  <si>
    <t>Libby &amp;amp; Rick Avis</t>
  </si>
  <si>
    <t>Kerri Brinegar</t>
  </si>
  <si>
    <t>liliaceaesky</t>
  </si>
  <si>
    <t>Data Analyst</t>
  </si>
  <si>
    <t>Keith Bradley</t>
  </si>
  <si>
    <t>linaceae</t>
  </si>
  <si>
    <t>South Carolina Heritage Trust</t>
  </si>
  <si>
    <t>Jesse Lincoln</t>
  </si>
  <si>
    <t>lincoln</t>
  </si>
  <si>
    <t>Linda Kershaw</t>
  </si>
  <si>
    <t>ljkershaw</t>
  </si>
  <si>
    <t>Laura Saucier</t>
  </si>
  <si>
    <t>llsauce</t>
  </si>
  <si>
    <t>Connecticut Natural Diversity Database</t>
  </si>
  <si>
    <t>Logan Rowe</t>
  </si>
  <si>
    <t>loganrowe</t>
  </si>
  <si>
    <t>Conservation Associate</t>
  </si>
  <si>
    <t>Lori Scott</t>
  </si>
  <si>
    <t>lori_scott</t>
  </si>
  <si>
    <t>Lusha Tronstad</t>
  </si>
  <si>
    <t>ltronstad</t>
  </si>
  <si>
    <t>Lead Invertebrate Zoologist</t>
  </si>
  <si>
    <t>Ludo Leclerc</t>
  </si>
  <si>
    <t>ludoleclerc</t>
  </si>
  <si>
    <t>Luke Lamar</t>
  </si>
  <si>
    <t>lukelamar406</t>
  </si>
  <si>
    <t>Swan Valley Connections</t>
  </si>
  <si>
    <t>Carnivores</t>
  </si>
  <si>
    <t>Specializes in track identification of carnivores.</t>
  </si>
  <si>
    <t>Bryce Maxell bmaxell@mt.gov on 1/20/26.</t>
  </si>
  <si>
    <t>Lupoli Roland</t>
  </si>
  <si>
    <t>lupoli_roland</t>
  </si>
  <si>
    <t>Morgan Macy</t>
  </si>
  <si>
    <t>lycophyte</t>
  </si>
  <si>
    <t>Lydia Sweeney</t>
  </si>
  <si>
    <t>lydiasweeney</t>
  </si>
  <si>
    <t>Assistant Ecologist</t>
  </si>
  <si>
    <t>Lynn Davidson</t>
  </si>
  <si>
    <t>lynne31</t>
  </si>
  <si>
    <t>Lynne Davidson</t>
  </si>
  <si>
    <t>Conservation Tech Manager</t>
  </si>
  <si>
    <t>Lynnea Parker</t>
  </si>
  <si>
    <t>lynneaparker</t>
  </si>
  <si>
    <t>Lynn Harper</t>
  </si>
  <si>
    <t>lynnharper</t>
  </si>
  <si>
    <t>Conservation planner</t>
  </si>
  <si>
    <t>Lynn Kinter</t>
  </si>
  <si>
    <t>lynnkinter</t>
  </si>
  <si>
    <t>Lysandra Pyle</t>
  </si>
  <si>
    <t>lysandra</t>
  </si>
  <si>
    <t>Marty Mossop</t>
  </si>
  <si>
    <t>m_mossop</t>
  </si>
  <si>
    <t>Yukon Conservation Data Centre</t>
  </si>
  <si>
    <t>Migratory Bird Technician</t>
  </si>
  <si>
    <t>Vertebrates|Vascular Plants</t>
  </si>
  <si>
    <t>A%|P%</t>
  </si>
  <si>
    <t>Marie-Ãˆve Garon-Labrecque</t>
  </si>
  <si>
    <t>m-bibittes</t>
  </si>
  <si>
    <t>botanist</t>
  </si>
  <si>
    <t>Maddie Severance</t>
  </si>
  <si>
    <t>maddie_severance_nhb</t>
  </si>
  <si>
    <t>Maddie Severance NH NHB</t>
  </si>
  <si>
    <t>Assistant Ecological Information Specialist</t>
  </si>
  <si>
    <t>Makarii Loskutov</t>
  </si>
  <si>
    <t>makarii_loskutov</t>
  </si>
  <si>
    <t>Michael Geiser</t>
  </si>
  <si>
    <t>malacoderm</t>
  </si>
  <si>
    <t>Natural History Museum of London</t>
  </si>
  <si>
    <t>Curator of Beetle Collection</t>
  </si>
  <si>
    <t>Specializes in Soldier Beetles and Leaf Beetles</t>
  </si>
  <si>
    <t>Malissa Briggler</t>
  </si>
  <si>
    <t>MalissaB</t>
  </si>
  <si>
    <t>Missouri Natural Heritage Program</t>
  </si>
  <si>
    <t>Missouri</t>
  </si>
  <si>
    <t>Kris Anderson</t>
  </si>
  <si>
    <t>mantodea</t>
  </si>
  <si>
    <t>Mantids</t>
  </si>
  <si>
    <t>IIMAN%</t>
  </si>
  <si>
    <t>Marc-Aurèle Vallée</t>
  </si>
  <si>
    <t>marc_aurele</t>
  </si>
  <si>
    <t>Marc Epstein</t>
  </si>
  <si>
    <t>marcepstein</t>
  </si>
  <si>
    <t>Particularly specialized in Limacodidae and related families Dalceridae and Megalopygidae (Slug Caterpillars).</t>
  </si>
  <si>
    <t>Margaret Krichbaum</t>
  </si>
  <si>
    <t>margaret_eaglecap</t>
  </si>
  <si>
    <t>Maria Aguirre</t>
  </si>
  <si>
    <t>mariaaguirre</t>
  </si>
  <si>
    <t>Tennessee Valley Authority</t>
  </si>
  <si>
    <t>Terrestrial Zoologist</t>
  </si>
  <si>
    <t>Mammals|Bats</t>
  </si>
  <si>
    <t>3 years working with the bats of Tennessee</t>
  </si>
  <si>
    <t>Maricel Patino</t>
  </si>
  <si>
    <t>maricel-patino</t>
  </si>
  <si>
    <t>maricel patino</t>
  </si>
  <si>
    <t>Fungi|Crusts</t>
  </si>
  <si>
    <t>NF%NL%</t>
  </si>
  <si>
    <t>Marie-France Germain</t>
  </si>
  <si>
    <t>marie_france_germain</t>
  </si>
  <si>
    <t>Marisa Szubryt</t>
  </si>
  <si>
    <t>marisaszubryt</t>
  </si>
  <si>
    <t>Marisa Blake Szubryt</t>
  </si>
  <si>
    <t>University of Oklahoma</t>
  </si>
  <si>
    <t>PhD student</t>
  </si>
  <si>
    <t>Vascular Plants|Astereae</t>
  </si>
  <si>
    <t>especially Euthamia, Heterotheca</t>
  </si>
  <si>
    <t>Mark Andersen</t>
  </si>
  <si>
    <t>markandersen</t>
  </si>
  <si>
    <t>Information Systems and Services Coordinator</t>
  </si>
  <si>
    <t>Experience mostly limited to Wyoming</t>
  </si>
  <si>
    <t>Mark Egger</t>
  </si>
  <si>
    <t>markegger</t>
  </si>
  <si>
    <t>Vascular Plants|Orobanchaceae</t>
  </si>
  <si>
    <t>Mark Ferguson</t>
  </si>
  <si>
    <t>markferguson</t>
  </si>
  <si>
    <t>Mark Salvato</t>
  </si>
  <si>
    <t>markhollysalvato</t>
  </si>
  <si>
    <t>Mark + Holly Salvato</t>
  </si>
  <si>
    <t>Retired USFWS</t>
  </si>
  <si>
    <t>Curtis Musson cmusson@fnai.fsu.edu on 12/5/25</t>
  </si>
  <si>
    <t>Martina Hines</t>
  </si>
  <si>
    <t>martina798</t>
  </si>
  <si>
    <t>Manager of Biological Assessment Branch</t>
  </si>
  <si>
    <t>Mary Krieger</t>
  </si>
  <si>
    <t>marykrieger</t>
  </si>
  <si>
    <t>Mason Brock</t>
  </si>
  <si>
    <t>masebrock</t>
  </si>
  <si>
    <t>Former collections manager Austin Peay State University herbarium, expert on flora of SE united states</t>
  </si>
  <si>
    <t>Sarah Maier</t>
  </si>
  <si>
    <t>masswildlife</t>
  </si>
  <si>
    <t>MassWildlife</t>
  </si>
  <si>
    <t>Matthew Pace</t>
  </si>
  <si>
    <t>matthewpace</t>
  </si>
  <si>
    <t>New York Botanical Gardens</t>
  </si>
  <si>
    <t>Assistant Curator</t>
  </si>
  <si>
    <t>Matthias Buck</t>
  </si>
  <si>
    <t>matthias22</t>
  </si>
  <si>
    <t>Vascular Plants|Insecta|Wasps/hornets</t>
  </si>
  <si>
    <t>Matt Lavin</t>
  </si>
  <si>
    <t>mattlavin</t>
  </si>
  <si>
    <t>Matthew Schlesinger</t>
  </si>
  <si>
    <t>mattschles</t>
  </si>
  <si>
    <t>Matt Schlesinger</t>
  </si>
  <si>
    <t>Matt Unitis</t>
  </si>
  <si>
    <t>mattunitis</t>
  </si>
  <si>
    <t>Wetland ecologist, bog lover. Has reported several rare bryophytes to the Oregon Biodiversity Information Center.</t>
  </si>
  <si>
    <t>Maurice Raymond</t>
  </si>
  <si>
    <t>maurice13</t>
  </si>
  <si>
    <t>Max Allen</t>
  </si>
  <si>
    <t>maxallen</t>
  </si>
  <si>
    <t>Max Henschell</t>
  </si>
  <si>
    <t>maxtheecologist</t>
  </si>
  <si>
    <t>Bruce McCune</t>
  </si>
  <si>
    <t>mccuneb</t>
  </si>
  <si>
    <t>See links at https://www.inaturalist.org/users/15692</t>
  </si>
  <si>
    <t>Pacific Northwest</t>
  </si>
  <si>
    <t>Bryce Maxell on 7/10/24.</t>
  </si>
  <si>
    <t>Michelle Catherine Toshack</t>
  </si>
  <si>
    <t>mctoshack</t>
  </si>
  <si>
    <t>Xerces</t>
  </si>
  <si>
    <t>Conservation Biologist, Montana Bumble Bee Atlas Lead</t>
  </si>
  <si>
    <t>Lepidoptera|Bombus</t>
  </si>
  <si>
    <t>IILE%|IIHYM%</t>
  </si>
  <si>
    <t>MTNHP Expert List, Expertise updated by Bryce Maxell on 5/28/25</t>
  </si>
  <si>
    <t>Marty Purdy</t>
  </si>
  <si>
    <t>mdpurdy</t>
  </si>
  <si>
    <t>New Mexico Forestry Division of Energy, Minerals, and Natural Resources Department</t>
  </si>
  <si>
    <t>Assistant Botanist</t>
  </si>
  <si>
    <t>Meg Wilkinson</t>
  </si>
  <si>
    <t>megan_wilkinson</t>
  </si>
  <si>
    <t>Megan Wilkinson</t>
  </si>
  <si>
    <t>Program Coordinator, Invasive Species Database Program</t>
  </si>
  <si>
    <t>Meredith Longoria</t>
  </si>
  <si>
    <t>meredithlongoria</t>
  </si>
  <si>
    <t>Meredith Pederson Longoria</t>
  </si>
  <si>
    <t>Deputy Division Director</t>
  </si>
  <si>
    <t>Mike Hays</t>
  </si>
  <si>
    <t>mhays</t>
  </si>
  <si>
    <t>Michael Falls</t>
  </si>
  <si>
    <t>michael_falls</t>
  </si>
  <si>
    <t>Forester</t>
  </si>
  <si>
    <t>Michael Oldham</t>
  </si>
  <si>
    <t>michael_oldham</t>
  </si>
  <si>
    <t>Michael John Oldham</t>
  </si>
  <si>
    <t>Botanist / Herpetologist</t>
  </si>
  <si>
    <t>Vascular Plants|Amphibia|Reptilia</t>
  </si>
  <si>
    <t>Michael Sanders</t>
  </si>
  <si>
    <t>michael_sanders1</t>
  </si>
  <si>
    <t>Environmental Review Specialist/Zoologist</t>
  </si>
  <si>
    <t>Michael Lueth</t>
  </si>
  <si>
    <t>michael-lueth</t>
  </si>
  <si>
    <t>Michael Barbour</t>
  </si>
  <si>
    <t>michael931</t>
  </si>
  <si>
    <t>HDMS Data Specialist</t>
  </si>
  <si>
    <t>Michael Lee</t>
  </si>
  <si>
    <t>michaelleenc</t>
  </si>
  <si>
    <t>Plant Ecologist/Botanist</t>
  </si>
  <si>
    <t>Michael Menefee</t>
  </si>
  <si>
    <t>michaelmenefee</t>
  </si>
  <si>
    <t>Environmental Review &amp; Data Distribution Coordinator</t>
  </si>
  <si>
    <t>Michael Nelson</t>
  </si>
  <si>
    <t>michaelnelson3</t>
  </si>
  <si>
    <t>Michael Rudy</t>
  </si>
  <si>
    <t>michaelrudy</t>
  </si>
  <si>
    <t>Lichens|Bryophytes|Algae</t>
  </si>
  <si>
    <t>NL%|NF%|NA%</t>
  </si>
  <si>
    <t>Michelle Weschler</t>
  </si>
  <si>
    <t>michelle49</t>
  </si>
  <si>
    <t>Assistant Invertebrate Zoologist</t>
  </si>
  <si>
    <t>Insects|Lepidoptera</t>
  </si>
  <si>
    <t>Mihail Kennedy</t>
  </si>
  <si>
    <t>mihail</t>
  </si>
  <si>
    <t>Mike Miller</t>
  </si>
  <si>
    <t>mike_miller</t>
  </si>
  <si>
    <t>Consulting Plant Ecologist</t>
  </si>
  <si>
    <t>Mike Burrell</t>
  </si>
  <si>
    <t>mikeburrell</t>
  </si>
  <si>
    <t>Mike V.A. Burrell</t>
  </si>
  <si>
    <t>Provincial Zoologist - Vertebrates</t>
  </si>
  <si>
    <t>Mike Leahy</t>
  </si>
  <si>
    <t>mikeleahy</t>
  </si>
  <si>
    <t>Natural Community Ecologist</t>
  </si>
  <si>
    <t>Mike Potts</t>
  </si>
  <si>
    <t>mikepotts</t>
  </si>
  <si>
    <t>Amateur mycologist who has studied fungi and their habitats in southern Oregon since 2006. Top contributor of Oregon Fungal Diversity project.</t>
  </si>
  <si>
    <t>Miles Zhang</t>
  </si>
  <si>
    <t>mileszhang</t>
  </si>
  <si>
    <t>Insects|Parasitic wasps</t>
  </si>
  <si>
    <t>Mark Fishbein</t>
  </si>
  <si>
    <t>milkweedguy</t>
  </si>
  <si>
    <t>Oklahoma State University</t>
  </si>
  <si>
    <t>Vascular Plants|Apocynaceae</t>
  </si>
  <si>
    <t>Milo Pyne</t>
  </si>
  <si>
    <t>milopyne</t>
  </si>
  <si>
    <t>Retired NatureServe Ecologist</t>
  </si>
  <si>
    <t>~30 years of experience with the Flora of the Southeast US with emphasis on Tennessee and North Carolina.</t>
  </si>
  <si>
    <t>Mindy Wheeler</t>
  </si>
  <si>
    <t>mindywheeler10</t>
  </si>
  <si>
    <t>Rare Plant Conservation Coordinator</t>
  </si>
  <si>
    <t>Misty Buchanan</t>
  </si>
  <si>
    <t>mistybuchanan</t>
  </si>
  <si>
    <t>Misty Franklin Buchanan</t>
  </si>
  <si>
    <t>Marirose Kuhlman</t>
  </si>
  <si>
    <t>mkuhl</t>
  </si>
  <si>
    <t>Missoula County, Montana</t>
  </si>
  <si>
    <t>Entomologist, Habitat Coordinator</t>
  </si>
  <si>
    <t>Insects|Vascular Plants</t>
  </si>
  <si>
    <t>II%|P%</t>
  </si>
  <si>
    <t>Bryce Maxell bmaxell@mt.gov on 6/25/25</t>
  </si>
  <si>
    <t>Michael Lucid</t>
  </si>
  <si>
    <t>mlucid</t>
  </si>
  <si>
    <t>Gastropods</t>
  </si>
  <si>
    <t>IMGAS%</t>
  </si>
  <si>
    <t>Lisa St. Hilaire</t>
  </si>
  <si>
    <t>mnap</t>
  </si>
  <si>
    <t>Maine Natural Areas Program</t>
  </si>
  <si>
    <t>Matt Neilson</t>
  </si>
  <si>
    <t>mneilson-usgs</t>
  </si>
  <si>
    <t>USGS Nonindigenous Aquatic Species Database Program</t>
  </si>
  <si>
    <t>Non-native aquatic species|Fish</t>
  </si>
  <si>
    <t>Scott Schuette</t>
  </si>
  <si>
    <t>mossman2000</t>
  </si>
  <si>
    <t>Botany Program Manager</t>
  </si>
  <si>
    <t>Doug Macaulay</t>
  </si>
  <si>
    <t>mothmaniac</t>
  </si>
  <si>
    <t>Invertebrates|Lepidoptera</t>
  </si>
  <si>
    <t>Michael Sabourin</t>
  </si>
  <si>
    <t>mothvet</t>
  </si>
  <si>
    <t>Vermont Entomological Society</t>
  </si>
  <si>
    <t>President</t>
  </si>
  <si>
    <t>Matthew Pintar</t>
  </si>
  <si>
    <t>mpintar</t>
  </si>
  <si>
    <t>Aquatic Invertebrates</t>
  </si>
  <si>
    <t>Michel Savard</t>
  </si>
  <si>
    <t>msavard</t>
  </si>
  <si>
    <t>Michael Rosenberg</t>
  </si>
  <si>
    <t>msr</t>
  </si>
  <si>
    <t>Decapoda</t>
  </si>
  <si>
    <t>The world's foremost Fiddler Crab expert!</t>
  </si>
  <si>
    <t>Craig Odegard</t>
  </si>
  <si>
    <t>mtdenizen</t>
  </si>
  <si>
    <t>Moths|Vascular Plants</t>
  </si>
  <si>
    <t>P%|ILEP%</t>
  </si>
  <si>
    <t>Jasmine Chaffee</t>
  </si>
  <si>
    <t>mtjchaffee</t>
  </si>
  <si>
    <t>Amanda Muller</t>
  </si>
  <si>
    <t>mullerecology</t>
  </si>
  <si>
    <t>University of Saskatchewan, Department of Plant Sciences</t>
  </si>
  <si>
    <t>Lab Instructor</t>
  </si>
  <si>
    <t>Morgan Southgate</t>
  </si>
  <si>
    <t>mw_southgate</t>
  </si>
  <si>
    <t>Morgan W. Southgate</t>
  </si>
  <si>
    <t>University of Vermont</t>
  </si>
  <si>
    <t>Plant Ecologist</t>
  </si>
  <si>
    <t>Mack Frantz</t>
  </si>
  <si>
    <t>mwfrantz</t>
  </si>
  <si>
    <t>Mack W. Frantz</t>
  </si>
  <si>
    <t>Walt Sturgeon</t>
  </si>
  <si>
    <t>mycowalt</t>
  </si>
  <si>
    <t>Fungi|Russulales</t>
  </si>
  <si>
    <t>Chris Cohen</t>
  </si>
  <si>
    <t>myelaphus</t>
  </si>
  <si>
    <t>Asilidae</t>
  </si>
  <si>
    <t>Nick Cairns</t>
  </si>
  <si>
    <t>nacairns</t>
  </si>
  <si>
    <t>Naomi Fraga</t>
  </si>
  <si>
    <t>naomibot</t>
  </si>
  <si>
    <t>California Botanic Garden</t>
  </si>
  <si>
    <t>Director of Conservation</t>
  </si>
  <si>
    <t>Vascular Plants|Phrymaceae</t>
  </si>
  <si>
    <t>Anonymous expert list survey contribution December 2024.</t>
  </si>
  <si>
    <t>Nathan Shepard</t>
  </si>
  <si>
    <t>nashepard</t>
  </si>
  <si>
    <t>Western Regional Field Biologist</t>
  </si>
  <si>
    <t>nastos</t>
  </si>
  <si>
    <t>Nate Martineau</t>
  </si>
  <si>
    <t>natemartineau</t>
  </si>
  <si>
    <t>Wisconsin and Michigan flora expert</t>
  </si>
  <si>
    <t>Nathan Taylor</t>
  </si>
  <si>
    <t>nathantaylor</t>
  </si>
  <si>
    <t>Plants, especially Euphorbiaceae</t>
  </si>
  <si>
    <t>Denis Doucet</t>
  </si>
  <si>
    <t>nbdragonflyguy</t>
  </si>
  <si>
    <t>Odonata|Cicindelidae|Salticidae|Orthoptera|Reptilia|Amphibia</t>
  </si>
  <si>
    <t>IIODO%|IICOL%|IIORT%|ILA%|AA%|AR%</t>
  </si>
  <si>
    <t>Neil Vinson</t>
  </si>
  <si>
    <t>neilvinson</t>
  </si>
  <si>
    <t>Chris Schmidt</t>
  </si>
  <si>
    <t>neoarctia</t>
  </si>
  <si>
    <t>Joel Neylon</t>
  </si>
  <si>
    <t>neylon</t>
  </si>
  <si>
    <t>Bumble bees, birds</t>
  </si>
  <si>
    <t>IIHYM%|AB%</t>
  </si>
  <si>
    <t>Collaborator (Keng-Lou Hung)</t>
  </si>
  <si>
    <t>Native Fish For Tomorrow</t>
  </si>
  <si>
    <t>nf4t</t>
  </si>
  <si>
    <t>Native Fish for Tomorrow</t>
  </si>
  <si>
    <r>
      <rPr/>
      <t xml:space="preserve">Foc on identifications of freshwater native fish of the United States.  </t>
    </r>
    <r>
      <rPr>
        <color rgb="FF1155CC"/>
        <u/>
      </rPr>
      <t>https://nativefishfortomorrow.org/</t>
    </r>
  </si>
  <si>
    <t>United States</t>
  </si>
  <si>
    <t>Bryce Maxell bmaxell@mt.gov on 8/1/24.</t>
  </si>
  <si>
    <t>Nathan Hentze</t>
  </si>
  <si>
    <t>nhentze</t>
  </si>
  <si>
    <t>Nathan Hentze nathan.hentze@gov.bc.ca</t>
  </si>
  <si>
    <t>Nick Bédard</t>
  </si>
  <si>
    <t>nickbedard</t>
  </si>
  <si>
    <t>Laurentian Forestry Centre, Natural Resources Canada</t>
  </si>
  <si>
    <t>Nick Conrad</t>
  </si>
  <si>
    <t>nickconrad</t>
  </si>
  <si>
    <t>nick conrad</t>
  </si>
  <si>
    <t>Information Resources Coordinator</t>
  </si>
  <si>
    <t>Nicole Zampieri</t>
  </si>
  <si>
    <t>nicolez</t>
  </si>
  <si>
    <t>Steve Young</t>
  </si>
  <si>
    <t>niskyadk</t>
  </si>
  <si>
    <t>Nick Block</t>
  </si>
  <si>
    <t>nlblock</t>
  </si>
  <si>
    <t>Birds|Insecta|Odonata|Papilionoidea</t>
  </si>
  <si>
    <t>AB%|II%</t>
  </si>
  <si>
    <t>Noah Siegel</t>
  </si>
  <si>
    <t>noah_siegel</t>
  </si>
  <si>
    <t>Spencer Quayle</t>
  </si>
  <si>
    <t>noam_chimpsky</t>
  </si>
  <si>
    <t>Solomon Hendrix</t>
  </si>
  <si>
    <t>nomolosx</t>
  </si>
  <si>
    <t>solomon hendrix</t>
  </si>
  <si>
    <t>Norbert Kondla</t>
  </si>
  <si>
    <t>norbertkondla</t>
  </si>
  <si>
    <t>Retired Biologist</t>
  </si>
  <si>
    <t>Norm Shea</t>
  </si>
  <si>
    <t>norm_shea</t>
  </si>
  <si>
    <t>30 years experience, taxonomic identification training, South Carolina Department of Natural Resources, Wildlife Biologist II, expertise restricted to aquatic and Coastal Plain environments of the southeastern United States</t>
  </si>
  <si>
    <t>Northern Rockies Research and Educational Services</t>
  </si>
  <si>
    <t>nrres</t>
  </si>
  <si>
    <t>Nate Kohler</t>
  </si>
  <si>
    <t>nskohler</t>
  </si>
  <si>
    <t>Birds|Odonata</t>
  </si>
  <si>
    <t>AB%|IIODO%</t>
  </si>
  <si>
    <t>Natalie Virbitsky</t>
  </si>
  <si>
    <t>nvirbitsky</t>
  </si>
  <si>
    <t>Conservation Information Assistant</t>
  </si>
  <si>
    <t>Laura Shappell</t>
  </si>
  <si>
    <t>ny_wetlander</t>
  </si>
  <si>
    <t>Peter Poortman</t>
  </si>
  <si>
    <t>nzshells</t>
  </si>
  <si>
    <t>Mollusks|Barnacles</t>
  </si>
  <si>
    <t>IM%|ICCIR%</t>
  </si>
  <si>
    <t>Gilles Belliveau</t>
  </si>
  <si>
    <t>odonatanb</t>
  </si>
  <si>
    <t>Oliver Barker</t>
  </si>
  <si>
    <t>oebarker</t>
  </si>
  <si>
    <t>Olivia Braüner Larsen</t>
  </si>
  <si>
    <t>olivia560</t>
  </si>
  <si>
    <t>Environmental Planner</t>
  </si>
  <si>
    <t>Olivier Deshaies</t>
  </si>
  <si>
    <t>olivierdeshaies</t>
  </si>
  <si>
    <t>OlivierDeshaies</t>
  </si>
  <si>
    <t>Regional Environmental Council of Central Quebec</t>
  </si>
  <si>
    <t>Cooper Breeden</t>
  </si>
  <si>
    <t>onagraceoid</t>
  </si>
  <si>
    <t>Plant Conservation Manager</t>
  </si>
  <si>
    <t>Completed M.S. under mentorship of Dr. Dwayne Estes; 10 years experience in field botany in the Southeast</t>
  </si>
  <si>
    <t>Rick Cheicante</t>
  </si>
  <si>
    <t>ophiogomphus</t>
  </si>
  <si>
    <t>Tara Cornelisse</t>
  </si>
  <si>
    <t>oxysternon</t>
  </si>
  <si>
    <t>Padraic Elliott</t>
  </si>
  <si>
    <t>padraic</t>
  </si>
  <si>
    <t>Field Biologist</t>
  </si>
  <si>
    <t>Pam Janszen</t>
  </si>
  <si>
    <t>pamjanszen</t>
  </si>
  <si>
    <t>Slime molds|Macrofungi</t>
  </si>
  <si>
    <t>NF%|ZMYXO%</t>
  </si>
  <si>
    <t>Pam Smith</t>
  </si>
  <si>
    <t>pamsmithcnhp</t>
  </si>
  <si>
    <t>Pam Smith CNHP</t>
  </si>
  <si>
    <t>Denis Paquette</t>
  </si>
  <si>
    <t>paquette0747</t>
  </si>
  <si>
    <t>Patrick Henry</t>
  </si>
  <si>
    <t>patricknsc</t>
  </si>
  <si>
    <t>Member of iNaturalist Canada Steering Committee along with Parks Canada, Canadian Wildlife Federation and Royal Ontario Museum representatives.</t>
  </si>
  <si>
    <t>Paul Crump</t>
  </si>
  <si>
    <t>paul_crump</t>
  </si>
  <si>
    <t>Paul Dennehy</t>
  </si>
  <si>
    <t>paul_dennehy</t>
  </si>
  <si>
    <t>Amateur Lepidopterist</t>
  </si>
  <si>
    <t>Lepidoptera|Moths</t>
  </si>
  <si>
    <t>Paula Becker</t>
  </si>
  <si>
    <t>paula_becker</t>
  </si>
  <si>
    <t>Outreach Ecologist</t>
  </si>
  <si>
    <t>Peter Cutter</t>
  </si>
  <si>
    <t>pcutter</t>
  </si>
  <si>
    <t>Project Manager</t>
  </si>
  <si>
    <t>Peter Dunwiddie</t>
  </si>
  <si>
    <t>pdunwiddie</t>
  </si>
  <si>
    <t>University of Washington School of Environmental and Forest Sciences and Burke Museum at that University of Washington</t>
  </si>
  <si>
    <t>Affiliate Professor and Affiliate Herbarium Curator</t>
  </si>
  <si>
    <t>Vascular Plants|Mammals|Insects</t>
  </si>
  <si>
    <t>P%|AM%|II%</t>
  </si>
  <si>
    <t>40 years, affiliate professor in the Biology Department and in the School of Environmental and Forest Sciences at the University of Washington, as well as an affiliate curator at the herbarium in the Burke Museum at UW</t>
  </si>
  <si>
    <t>Peggy Lyon</t>
  </si>
  <si>
    <t>peggy5</t>
  </si>
  <si>
    <t>Botanist/ West Slope Coordinator</t>
  </si>
  <si>
    <t>Shelly Colatskie</t>
  </si>
  <si>
    <t>Perelli</t>
  </si>
  <si>
    <t>Bats</t>
  </si>
  <si>
    <t>AMACC%</t>
  </si>
  <si>
    <t>Currently the Missouri State Bat Ecologist.  Has been working with bats for 17 years.</t>
  </si>
  <si>
    <t>Pete Woods</t>
  </si>
  <si>
    <t>pete_woods</t>
  </si>
  <si>
    <t>Peter Lane</t>
  </si>
  <si>
    <t>peterlane</t>
  </si>
  <si>
    <t>Peter Zika</t>
  </si>
  <si>
    <t>peterzika</t>
  </si>
  <si>
    <t>Dalton Spencer</t>
  </si>
  <si>
    <t>pheasantboy77</t>
  </si>
  <si>
    <t>Bo Crees, bcrees@mt.gov</t>
  </si>
  <si>
    <t>Phillip deMaynadier</t>
  </si>
  <si>
    <t>phillipdemaynadier</t>
  </si>
  <si>
    <t>phillip demaynadier</t>
  </si>
  <si>
    <t>Martin Hauser</t>
  </si>
  <si>
    <t>phycus</t>
  </si>
  <si>
    <t xml:space="preserve">German entomologist. </t>
  </si>
  <si>
    <t>Diptera|Stratiomyidae|Syrphidae|Therevidae|Tephritidae</t>
  </si>
  <si>
    <t>Pierre Petitclerc</t>
  </si>
  <si>
    <t>pierre380</t>
  </si>
  <si>
    <t>Pierrick Bloin</t>
  </si>
  <si>
    <t>pierrickb</t>
  </si>
  <si>
    <t>Casey Richart</t>
  </si>
  <si>
    <t>pileated</t>
  </si>
  <si>
    <t>Casey H. Richart</t>
  </si>
  <si>
    <t>Ph.D. on Opiliones.  Expertise/interest extends to terrestrial gastropods and millipedes.</t>
  </si>
  <si>
    <t>Peter Taylor</t>
  </si>
  <si>
    <t>pinawapt</t>
  </si>
  <si>
    <t>Birds|Amphibia|Reptilia|Mammalia|Insects</t>
  </si>
  <si>
    <t>AB%|AA%|AR%|AM%|II%</t>
  </si>
  <si>
    <t>Paige Copenhaver-Parry</t>
  </si>
  <si>
    <t>piplup</t>
  </si>
  <si>
    <t>Paige Copenhaver</t>
  </si>
  <si>
    <t>Ecology Program Manager</t>
  </si>
  <si>
    <t>Peter L Achuff</t>
  </si>
  <si>
    <t>plachuff</t>
  </si>
  <si>
    <t>Adam Dattilo</t>
  </si>
  <si>
    <t>plantxplorer</t>
  </si>
  <si>
    <t>20 years of botany in the southeast United States.</t>
  </si>
  <si>
    <t>Jeffrey Rose</t>
  </si>
  <si>
    <t>polemoniaceae</t>
  </si>
  <si>
    <t>Jeff</t>
  </si>
  <si>
    <t>Plants|Expert on Phlox (Polemoniaceae)</t>
  </si>
  <si>
    <t>polemonium</t>
  </si>
  <si>
    <t>Lisa Kruse</t>
  </si>
  <si>
    <t>princesaranita</t>
  </si>
  <si>
    <t>Wildlife Biologist 3</t>
  </si>
  <si>
    <t>Priscilla Crawford</t>
  </si>
  <si>
    <t>priscillacrawford</t>
  </si>
  <si>
    <t>Priscilla Crawford, Biologist Ok BioSurvey</t>
  </si>
  <si>
    <t>Conservation Specialist</t>
  </si>
  <si>
    <t>Mike Ryan</t>
  </si>
  <si>
    <t>ptilidium</t>
  </si>
  <si>
    <t>Patrick McIntyre</t>
  </si>
  <si>
    <t>ptmcintyre</t>
  </si>
  <si>
    <t>Robert Dobbs</t>
  </si>
  <si>
    <t>r_dobbs</t>
  </si>
  <si>
    <t>Nongame Ornithologist</t>
  </si>
  <si>
    <t>Rachel Hackett</t>
  </si>
  <si>
    <t>rachelh3</t>
  </si>
  <si>
    <t>Rachel Goad</t>
  </si>
  <si>
    <t>rachyrach</t>
  </si>
  <si>
    <t>Radd Icenoggle</t>
  </si>
  <si>
    <t>raddice</t>
  </si>
  <si>
    <t>Radek Walkowiak</t>
  </si>
  <si>
    <t>radekwalkowiak</t>
  </si>
  <si>
    <t>Equisetum</t>
  </si>
  <si>
    <t>PPEQ%</t>
  </si>
  <si>
    <t>Randal Mindell</t>
  </si>
  <si>
    <t>rambryum</t>
  </si>
  <si>
    <t>Randal</t>
  </si>
  <si>
    <t>Tynan Ramm-Granberg</t>
  </si>
  <si>
    <t>rammberg</t>
  </si>
  <si>
    <t>Robert Anderson</t>
  </si>
  <si>
    <t>randerson1957</t>
  </si>
  <si>
    <t>Robert S. Anderson</t>
  </si>
  <si>
    <t>Canadian Museum of Nature in Ottawa</t>
  </si>
  <si>
    <t>Research Scientist, Zoology</t>
  </si>
  <si>
    <t>Randi Mulder</t>
  </si>
  <si>
    <t>randimuldercdc</t>
  </si>
  <si>
    <t>Biodiversity Information Specialist</t>
  </si>
  <si>
    <t>Rachel Simpson</t>
  </si>
  <si>
    <t>ras</t>
  </si>
  <si>
    <t>Retired - Nebraska Natural Heritage Program</t>
  </si>
  <si>
    <t>Ray Brunner</t>
  </si>
  <si>
    <t>ray_brunner</t>
  </si>
  <si>
    <t>Rick Cavasin</t>
  </si>
  <si>
    <t>rcavasin</t>
  </si>
  <si>
    <t>Ross Winton</t>
  </si>
  <si>
    <t>rcwinton</t>
  </si>
  <si>
    <t>Rebecca Rogers</t>
  </si>
  <si>
    <t>rebecca1538</t>
  </si>
  <si>
    <t>GIS/IT Manager</t>
  </si>
  <si>
    <t>Rebekah Neufeld</t>
  </si>
  <si>
    <t>rebekah_neufeld</t>
  </si>
  <si>
    <t>Philippe Blais</t>
  </si>
  <si>
    <t>redgarter</t>
  </si>
  <si>
    <t>Reid Hildebrandt</t>
  </si>
  <si>
    <t>reidhild</t>
  </si>
  <si>
    <t>Rachel Powell</t>
  </si>
  <si>
    <t>repowell</t>
  </si>
  <si>
    <t>Robert Gundy</t>
  </si>
  <si>
    <t>rgundy</t>
  </si>
  <si>
    <t>Biotics data entry/QC/ranking</t>
  </si>
  <si>
    <t>Richard Norwood</t>
  </si>
  <si>
    <t>richard364</t>
  </si>
  <si>
    <t>Richard J. Buist</t>
  </si>
  <si>
    <t>richardjbuist</t>
  </si>
  <si>
    <t>Birds|Amphibia|Reptilia</t>
  </si>
  <si>
    <t>Richard Joyce</t>
  </si>
  <si>
    <t>richardmonteverdense</t>
  </si>
  <si>
    <t>Xerces Society for Invertebrate Conservation</t>
  </si>
  <si>
    <t>Endangered Species Biologist</t>
  </si>
  <si>
    <t>Ryan Jones</t>
  </si>
  <si>
    <t>richjones2020</t>
  </si>
  <si>
    <t>Solifugae</t>
  </si>
  <si>
    <t>Riley Pollom</t>
  </si>
  <si>
    <t>rileypollom</t>
  </si>
  <si>
    <t>Marine Conservation Coordinator</t>
  </si>
  <si>
    <t>Raven Larcom</t>
  </si>
  <si>
    <t>rmlarcom</t>
  </si>
  <si>
    <t>Data Management Intern</t>
  </si>
  <si>
    <t>Rob Cannings</t>
  </si>
  <si>
    <t>robcannings</t>
  </si>
  <si>
    <t>Retired Curator of Entomology</t>
  </si>
  <si>
    <t>General|Odonata|Diptera|Robber Flies</t>
  </si>
  <si>
    <t>Robert Forsyth</t>
  </si>
  <si>
    <t>robertforsyth</t>
  </si>
  <si>
    <t>Terrestrial Molluscs</t>
  </si>
  <si>
    <t>Robert Gau</t>
  </si>
  <si>
    <t>roberto295</t>
  </si>
  <si>
    <t>Roberto Gaudet</t>
  </si>
  <si>
    <t>Manager, Biodiversity Conservation</t>
  </si>
  <si>
    <t>Rob Schorr</t>
  </si>
  <si>
    <t>robschorr</t>
  </si>
  <si>
    <t>Robyn Rumney</t>
  </si>
  <si>
    <t>robynrumney</t>
  </si>
  <si>
    <t>Roger Latham</t>
  </si>
  <si>
    <t>rogerlatham</t>
  </si>
  <si>
    <t>Ecologist/Conservation Biologist</t>
  </si>
  <si>
    <t>Roman Romanov</t>
  </si>
  <si>
    <t>roman_romanov</t>
  </si>
  <si>
    <t>Komarov Botanical Institute</t>
  </si>
  <si>
    <t>Ron Butler</t>
  </si>
  <si>
    <t>ronbutler</t>
  </si>
  <si>
    <t>Ross LayBerry</t>
  </si>
  <si>
    <t>rosslayberry</t>
  </si>
  <si>
    <t>Author, Butterflies of Canada</t>
  </si>
  <si>
    <t>Ryan Sealy</t>
  </si>
  <si>
    <t>rsealy</t>
  </si>
  <si>
    <t>Richard Staffen</t>
  </si>
  <si>
    <t>RStaffen</t>
  </si>
  <si>
    <t>Zoologist/Conservation Biologist</t>
  </si>
  <si>
    <t>Reptilia|Amphibia|Mammalia|Aves</t>
  </si>
  <si>
    <t>AR%|AA%|AM%|AB%</t>
  </si>
  <si>
    <t>15 years experience identifying vertebrate animals, restricted to Upper Great Lakes region.</t>
  </si>
  <si>
    <t>Ryan St. Laurent</t>
  </si>
  <si>
    <t>rstlaurent</t>
  </si>
  <si>
    <t>Ryan Durand</t>
  </si>
  <si>
    <t>ryan_durand</t>
  </si>
  <si>
    <t>Plants (especially wetlands)|Slime molds</t>
  </si>
  <si>
    <t>P%|ZMYXO%</t>
  </si>
  <si>
    <t>Ryan Elliott</t>
  </si>
  <si>
    <t>ryan_elliott</t>
  </si>
  <si>
    <t>Ryan Sorrells</t>
  </si>
  <si>
    <t>rynxs</t>
  </si>
  <si>
    <t>Sabra Tonn</t>
  </si>
  <si>
    <t>sabra2</t>
  </si>
  <si>
    <t>Formerly the Program Coordinator with Arizona Heritage Data Management System</t>
  </si>
  <si>
    <t>Sam Bluestein</t>
  </si>
  <si>
    <t>sam_blue</t>
  </si>
  <si>
    <t>Sam</t>
  </si>
  <si>
    <t>Snakes</t>
  </si>
  <si>
    <t>ARAD%</t>
  </si>
  <si>
    <t>Samuel Brinker</t>
  </si>
  <si>
    <t>samuelbrinker</t>
  </si>
  <si>
    <t>Provincial Botanist</t>
  </si>
  <si>
    <t>General|Vascular Plants|Lichens</t>
  </si>
  <si>
    <t>Sandra Coté</t>
  </si>
  <si>
    <t>sansue</t>
  </si>
  <si>
    <t>Sarah DeLong-Duhon</t>
  </si>
  <si>
    <t>sarahduhon</t>
  </si>
  <si>
    <t>Sarah Lloyd</t>
  </si>
  <si>
    <t>sarahlloyd</t>
  </si>
  <si>
    <t>Sara Lamar</t>
  </si>
  <si>
    <t>saralamar2020</t>
  </si>
  <si>
    <t>Specializes in track identification.</t>
  </si>
  <si>
    <t>Frédéric Coursol</t>
  </si>
  <si>
    <t>saururus</t>
  </si>
  <si>
    <t>Savanna Smith</t>
  </si>
  <si>
    <t>Savannasmith73</t>
  </si>
  <si>
    <t>Savanna</t>
  </si>
  <si>
    <t>Colorado rare flora</t>
  </si>
  <si>
    <t>Susie Adams</t>
  </si>
  <si>
    <t>sbadams</t>
  </si>
  <si>
    <t>SBAdams</t>
  </si>
  <si>
    <t>USFS</t>
  </si>
  <si>
    <t>Research Fish Biologist</t>
  </si>
  <si>
    <t>Fish, Crayfish</t>
  </si>
  <si>
    <t>ICMAL%|AF%</t>
  </si>
  <si>
    <t>https://research.fs.usda.gov/about/people/sadams01</t>
  </si>
  <si>
    <t>Bryce Maxell bmaxell@mt.gov</t>
  </si>
  <si>
    <t>Suzanne Carriere</t>
  </si>
  <si>
    <t>scarriere</t>
  </si>
  <si>
    <t>Retired - Northwest Territories Conservation Data Centre</t>
  </si>
  <si>
    <t>General|Small Mammals</t>
  </si>
  <si>
    <t>Paul Lamkowski</t>
  </si>
  <si>
    <t>schneidried</t>
  </si>
  <si>
    <t>Sphagnum</t>
  </si>
  <si>
    <t>NBMUS%</t>
  </si>
  <si>
    <t>Shahan Derkarabetian</t>
  </si>
  <si>
    <t>sclerobunus</t>
  </si>
  <si>
    <t>Opiliones</t>
  </si>
  <si>
    <t>Scott Mincemoyer</t>
  </si>
  <si>
    <t>scott_mt</t>
  </si>
  <si>
    <t>Contract Botanist</t>
  </si>
  <si>
    <t>Scott Namestnik</t>
  </si>
  <si>
    <t>scott_namestnik</t>
  </si>
  <si>
    <t>Indiana Natural Heritage Data Center</t>
  </si>
  <si>
    <t>Scott Nielsen</t>
  </si>
  <si>
    <t>scott1272</t>
  </si>
  <si>
    <t>Scott Ellis</t>
  </si>
  <si>
    <t>scottellis</t>
  </si>
  <si>
    <t>50+ years experience with Lepidoptera.</t>
  </si>
  <si>
    <t>Samuel D. J. Brown</t>
  </si>
  <si>
    <t>sdjbrown</t>
  </si>
  <si>
    <t>Samuel Brown</t>
  </si>
  <si>
    <t>Insect Taxonomist</t>
  </si>
  <si>
    <t>Particular focus is on Curculionoidea (Weevils).</t>
  </si>
  <si>
    <t>Sam Droege</t>
  </si>
  <si>
    <t>sdroege</t>
  </si>
  <si>
    <t>Sean Taylor</t>
  </si>
  <si>
    <t>sean501</t>
  </si>
  <si>
    <t>Archaeologist</t>
  </si>
  <si>
    <t>Sean Blaney</t>
  </si>
  <si>
    <t>seanblaney</t>
  </si>
  <si>
    <t>Executive Director &amp; Senior Scientist</t>
  </si>
  <si>
    <t>Sean Haughian</t>
  </si>
  <si>
    <t>seanhaughian</t>
  </si>
  <si>
    <t>Dr. Sean Haughian</t>
  </si>
  <si>
    <t>Lichens|Bryophytes</t>
  </si>
  <si>
    <t>NL%|NF%</t>
  </si>
  <si>
    <t>Sean O'Brien</t>
  </si>
  <si>
    <t>seantobrien</t>
  </si>
  <si>
    <t>Sean T. O'Brien</t>
  </si>
  <si>
    <t>Barbara Wilson</t>
  </si>
  <si>
    <t>sedgequeen</t>
  </si>
  <si>
    <t>Barbara L. Wilson</t>
  </si>
  <si>
    <t>PhD in Botany from OSU.  Carex Working Group member, iNaturalist Power User</t>
  </si>
  <si>
    <t>Gabriel Campbell</t>
  </si>
  <si>
    <t>seeddweeb</t>
  </si>
  <si>
    <t>Serguei Ponomarenko</t>
  </si>
  <si>
    <t>serguei_ponomarenko</t>
  </si>
  <si>
    <t>Canadian Museum of Nature</t>
  </si>
  <si>
    <t>Associate Research Scientist</t>
  </si>
  <si>
    <t>General|Plants</t>
  </si>
  <si>
    <t>Regina Johnson</t>
  </si>
  <si>
    <t>shallon</t>
  </si>
  <si>
    <t>Ecologist and Horticulturalist</t>
  </si>
  <si>
    <t>Natural Areas Ecologist in Washington.  Many years experience.</t>
  </si>
  <si>
    <t>Jenifer Penny</t>
  </si>
  <si>
    <t>shearwaterjlp</t>
  </si>
  <si>
    <t>Program Botanist</t>
  </si>
  <si>
    <t>Shelby Fulton</t>
  </si>
  <si>
    <t>shelby_fulton</t>
  </si>
  <si>
    <t>Shelley Cooke</t>
  </si>
  <si>
    <t>shelngreg</t>
  </si>
  <si>
    <t>Sarah Vinge-Mazer</t>
  </si>
  <si>
    <t>sienna</t>
  </si>
  <si>
    <t>Sienna Wessel</t>
  </si>
  <si>
    <t>siennawessel</t>
  </si>
  <si>
    <t>Sigrid Jakob</t>
  </si>
  <si>
    <t>sigridjakob</t>
  </si>
  <si>
    <t>Simon Pelletier</t>
  </si>
  <si>
    <t>simon552</t>
  </si>
  <si>
    <t>Assistant Zoologsit</t>
  </si>
  <si>
    <t>Simon Joly</t>
  </si>
  <si>
    <t>simonjoly</t>
  </si>
  <si>
    <t>Spencer K. Monckton</t>
  </si>
  <si>
    <t>skmonckton</t>
  </si>
  <si>
    <t>Hymenoptera|Sawflies</t>
  </si>
  <si>
    <t>Sawfly Systematist</t>
  </si>
  <si>
    <t>Scott Freeman</t>
  </si>
  <si>
    <t>skottfreee</t>
  </si>
  <si>
    <t>John Slapcinsky</t>
  </si>
  <si>
    <t>slapcin</t>
  </si>
  <si>
    <t>Steve Carson</t>
  </si>
  <si>
    <t>sljcarson</t>
  </si>
  <si>
    <t>Stuart McKamey</t>
  </si>
  <si>
    <t>smckamey</t>
  </si>
  <si>
    <t>USDA/ARS Systematic Entomology Laboratory, Smithsonian Institution</t>
  </si>
  <si>
    <t xml:space="preserve">Membracidae|Aetalionidae|Melizoderidae </t>
  </si>
  <si>
    <t>IIHOM%|IIHEM%</t>
  </si>
  <si>
    <t>World authority on treehoppers</t>
  </si>
  <si>
    <t>Samantha Tessel</t>
  </si>
  <si>
    <t>smtessel</t>
  </si>
  <si>
    <t>South Carolina Natural Heritage Trust</t>
  </si>
  <si>
    <t>Upstate Botanist</t>
  </si>
  <si>
    <t>Sue Muller</t>
  </si>
  <si>
    <t>smuller</t>
  </si>
  <si>
    <t>MBP editor with instructions for care (birds, herps, etc.)</t>
  </si>
  <si>
    <t>Tim Pearce</t>
  </si>
  <si>
    <t>snailtim</t>
  </si>
  <si>
    <t>Carnegie Museum</t>
  </si>
  <si>
    <t>Mollusks Collections Curator</t>
  </si>
  <si>
    <t>Mollusca</t>
  </si>
  <si>
    <t>Diana Soteropoulos</t>
  </si>
  <si>
    <t>soterplantopus</t>
  </si>
  <si>
    <t>Spencer Len Pote</t>
  </si>
  <si>
    <t>spencerpote</t>
  </si>
  <si>
    <t>Nate Nazdrowicz</t>
  </si>
  <si>
    <t>spinifer</t>
  </si>
  <si>
    <t>Nate N.</t>
  </si>
  <si>
    <t>Scott Pohlman</t>
  </si>
  <si>
    <t>spohlman</t>
  </si>
  <si>
    <t>Nature Preserve Property Manager</t>
  </si>
  <si>
    <t>Noel Robson</t>
  </si>
  <si>
    <t>spongeman</t>
  </si>
  <si>
    <t>Sponges</t>
  </si>
  <si>
    <t>IZSPN%</t>
  </si>
  <si>
    <t>Mark Mayfield</t>
  </si>
  <si>
    <t>spurgeckr</t>
  </si>
  <si>
    <t>Stacy Schmidt</t>
  </si>
  <si>
    <t>stacyfwp</t>
  </si>
  <si>
    <t>Stephen Luk</t>
  </si>
  <si>
    <t>stephenluk</t>
  </si>
  <si>
    <t>Steve Collins</t>
  </si>
  <si>
    <t>stevecollins</t>
  </si>
  <si>
    <t>Odonata|general</t>
  </si>
  <si>
    <t>Steve Jones</t>
  </si>
  <si>
    <t>stevejones</t>
  </si>
  <si>
    <t>one of the premiere experts on desert flora; has authored several species lists</t>
  </si>
  <si>
    <t>Steve Paiero</t>
  </si>
  <si>
    <t>stevepaiero</t>
  </si>
  <si>
    <t>Steve Stucker</t>
  </si>
  <si>
    <t>stevestuckert</t>
  </si>
  <si>
    <t>Steve Stuckert</t>
  </si>
  <si>
    <t>Ornithologist</t>
  </si>
  <si>
    <t>stomlins701</t>
  </si>
  <si>
    <t>MTNHP Expert List and MBP Expert List</t>
  </si>
  <si>
    <t>Tyson Hobbs</t>
  </si>
  <si>
    <t>string_of_nature</t>
  </si>
  <si>
    <t>Susan Panjabi</t>
  </si>
  <si>
    <t>susan_panjabi</t>
  </si>
  <si>
    <t>Susan Hewitt</t>
  </si>
  <si>
    <t>susanhewitt</t>
  </si>
  <si>
    <t>Susan J. Hewitt</t>
  </si>
  <si>
    <t>Syd Cannings</t>
  </si>
  <si>
    <t>sydcannings</t>
  </si>
  <si>
    <t>Was employed with the YCDC over a decade ago but is now a recently retired Biologist with the Canadian Wildlife Service.</t>
  </si>
  <si>
    <t>William Taft</t>
  </si>
  <si>
    <t>taftw</t>
  </si>
  <si>
    <t>Sesiidae (Clearwing moths)</t>
  </si>
  <si>
    <t>Tania Homayoun</t>
  </si>
  <si>
    <t>taniahomayoun</t>
  </si>
  <si>
    <t>Statewide Ornithologist</t>
  </si>
  <si>
    <t>Texas, USA</t>
  </si>
  <si>
    <t>Beryl Wait</t>
  </si>
  <si>
    <t>tanybo</t>
  </si>
  <si>
    <t>Tara Kieninger</t>
  </si>
  <si>
    <t>tara-kieninger</t>
  </si>
  <si>
    <t>Database Program Manager</t>
  </si>
  <si>
    <t>Tomás Curtis</t>
  </si>
  <si>
    <t>tcurtis</t>
  </si>
  <si>
    <t>Lichens|Vascular Plants</t>
  </si>
  <si>
    <t>NL%|P%</t>
  </si>
  <si>
    <t>Taylor Davis</t>
  </si>
  <si>
    <t>tdavis_inhdc</t>
  </si>
  <si>
    <t>Taylor Davis Astle</t>
  </si>
  <si>
    <t>Teagan Hayes</t>
  </si>
  <si>
    <t>teaganhayes</t>
  </si>
  <si>
    <t>Ted Brancheau</t>
  </si>
  <si>
    <t>tedjbranch</t>
  </si>
  <si>
    <t>NRCS Data Steward</t>
  </si>
  <si>
    <t>Teri Neville</t>
  </si>
  <si>
    <t>terineville</t>
  </si>
  <si>
    <t>GIS Coordinator</t>
  </si>
  <si>
    <t>Terry McIntosh</t>
  </si>
  <si>
    <t>terrymcintosh</t>
  </si>
  <si>
    <t>Thomas French</t>
  </si>
  <si>
    <t>tfrench</t>
  </si>
  <si>
    <t>Tim Howard</t>
  </si>
  <si>
    <t>tghoward</t>
  </si>
  <si>
    <t>Director of Science</t>
  </si>
  <si>
    <t>&gt; 30 years experience</t>
  </si>
  <si>
    <t>Theo Witsell</t>
  </si>
  <si>
    <t>theo_witsell</t>
  </si>
  <si>
    <t>Ecologist/Chief of Research</t>
  </si>
  <si>
    <t>Thilo Krueger</t>
  </si>
  <si>
    <t>thilokrueger</t>
  </si>
  <si>
    <t>Carnivorous plants</t>
  </si>
  <si>
    <t>PDDRO%</t>
  </si>
  <si>
    <t>Tim Wheeler</t>
  </si>
  <si>
    <t>timwheeler</t>
  </si>
  <si>
    <t>Lichens, Fungi</t>
  </si>
  <si>
    <t>John Davis</t>
  </si>
  <si>
    <t>tiojohn</t>
  </si>
  <si>
    <t>Austin Parks and Recreation</t>
  </si>
  <si>
    <t>Teresa Clark</t>
  </si>
  <si>
    <t>tldclark</t>
  </si>
  <si>
    <t>Tara Huguenin</t>
  </si>
  <si>
    <t>tlhug</t>
  </si>
  <si>
    <t>Conservation Data Specialist</t>
  </si>
  <si>
    <t>Tim Keeling</t>
  </si>
  <si>
    <t>tlkeelin</t>
  </si>
  <si>
    <t>Toby Spribille</t>
  </si>
  <si>
    <t>toby_spribille</t>
  </si>
  <si>
    <t>Associate Professor</t>
  </si>
  <si>
    <t>Todd Boland</t>
  </si>
  <si>
    <t>todd_boland</t>
  </si>
  <si>
    <t>Tom Neily</t>
  </si>
  <si>
    <t>tomneily</t>
  </si>
  <si>
    <t>Torrey Ritter</t>
  </si>
  <si>
    <t>torreyr</t>
  </si>
  <si>
    <t>Mack Beacon</t>
  </si>
  <si>
    <t>tortes</t>
  </si>
  <si>
    <t>Mack A Beacon</t>
  </si>
  <si>
    <t>Mayflies</t>
  </si>
  <si>
    <t>IIEPH%</t>
  </si>
  <si>
    <t>Tara Littlefield</t>
  </si>
  <si>
    <t>traroselittlefield</t>
  </si>
  <si>
    <t>Tara Rose Littlefield</t>
  </si>
  <si>
    <t>State Botanist/Plant Conservation Manager</t>
  </si>
  <si>
    <t>Katja Schulz</t>
  </si>
  <si>
    <t>treegrow</t>
  </si>
  <si>
    <t>Entomologist, esp. diptera. Lives in DC. Works at the Smithsonian: I am the managing editor and technical designer of the Tree of Life Web Project and the Species Pages Coordinator for the Encyclopedia of Life. I have a Ph. D. in entomology from the University of Arizona, and I am interested in biodiversity, evolution, phylogeny, and online collaboration and publishing.</t>
  </si>
  <si>
    <t>Timothy Reichard</t>
  </si>
  <si>
    <t>treichard</t>
  </si>
  <si>
    <t>Trevor Sless</t>
  </si>
  <si>
    <t>trevorsless</t>
  </si>
  <si>
    <t>Entomologist. Phd candidate at Cornell.</t>
  </si>
  <si>
    <t>Katrina Morris</t>
  </si>
  <si>
    <t>trinammorris</t>
  </si>
  <si>
    <t>Program Manager</t>
  </si>
  <si>
    <t>Trina Roberts</t>
  </si>
  <si>
    <t>trinaroberts</t>
  </si>
  <si>
    <t>Natural History Museum of Los Angeles</t>
  </si>
  <si>
    <t>Rob Aguilar</t>
  </si>
  <si>
    <t>trinectes</t>
  </si>
  <si>
    <t>Fish|Aquatic Life</t>
  </si>
  <si>
    <t>Tristan McKnight</t>
  </si>
  <si>
    <t>tristanmcknight</t>
  </si>
  <si>
    <t>Tristan A. McKnight</t>
  </si>
  <si>
    <t>University of Arizona</t>
  </si>
  <si>
    <t>Diptera|Asilidae</t>
  </si>
  <si>
    <t>Troy McMullin</t>
  </si>
  <si>
    <t>troy_mcmullin</t>
  </si>
  <si>
    <t>Research Status</t>
  </si>
  <si>
    <t>Tara Sample</t>
  </si>
  <si>
    <t>tsample</t>
  </si>
  <si>
    <t>Tim Seipel</t>
  </si>
  <si>
    <t>tseipel</t>
  </si>
  <si>
    <t>Tom Norton</t>
  </si>
  <si>
    <t>tsn</t>
  </si>
  <si>
    <t>Tanya Taylor</t>
  </si>
  <si>
    <t>ttaylor</t>
  </si>
  <si>
    <t>Scott Blum</t>
  </si>
  <si>
    <t>tuckeroo</t>
  </si>
  <si>
    <t>Scott A. Blum</t>
  </si>
  <si>
    <t>Data Wrangler</t>
  </si>
  <si>
    <t>Carl Nordman</t>
  </si>
  <si>
    <t>tuhat_kasveja</t>
  </si>
  <si>
    <t>Tyson Ehlers</t>
  </si>
  <si>
    <t>tyson_ehlers</t>
  </si>
  <si>
    <t>Bob Jacobs</t>
  </si>
  <si>
    <t>uconnbirdfish</t>
  </si>
  <si>
    <t>Retired Fisheries Biologist</t>
  </si>
  <si>
    <t>Matt Hunter</t>
  </si>
  <si>
    <t>umpquamatt</t>
  </si>
  <si>
    <t>Animals</t>
  </si>
  <si>
    <t>Has worked as a wildlife biologist/ecologist both as an agency employee and as a consultant; co-editor and co-author of "Birds of Oregon: A General Reference".</t>
  </si>
  <si>
    <t>Eric Ungberg</t>
  </si>
  <si>
    <t>ungberg</t>
  </si>
  <si>
    <t>Low Country Botanist</t>
  </si>
  <si>
    <t>Caleb Scholtens</t>
  </si>
  <si>
    <t>upupa-epops</t>
  </si>
  <si>
    <t>AB%|IIDIP%</t>
  </si>
  <si>
    <t>Bryce Maxell bmaxell@mt.gov on 11/18/25</t>
  </si>
  <si>
    <t>Viktoria Martynyuk</t>
  </si>
  <si>
    <t>viktoria</t>
  </si>
  <si>
    <t>Viktoria</t>
  </si>
  <si>
    <t>Plants|Expert on Silene (Caryphyllaceae)</t>
  </si>
  <si>
    <t>Francesco Vitali</t>
  </si>
  <si>
    <t>vitalfranz</t>
  </si>
  <si>
    <t>Long-horned Beetles (Cerambycoidea)</t>
  </si>
  <si>
    <t>Focus on both living and fossil worldwide Coleoptera Cerambycoidea (Cerambycidae, Disteniidae, Vesperidae, Oxypeltidae).</t>
  </si>
  <si>
    <t>Vanessa Voelker</t>
  </si>
  <si>
    <t>vvoelker</t>
  </si>
  <si>
    <t>Kentucky Nature Preserves</t>
  </si>
  <si>
    <t>Dillon Blankenship</t>
  </si>
  <si>
    <t>w_dillon_blankenship</t>
  </si>
  <si>
    <t>Data Manager and Environmental Review Coordinator</t>
  </si>
  <si>
    <t>Nikki Wade</t>
  </si>
  <si>
    <t>wadeakc</t>
  </si>
  <si>
    <t>Zoology Database Coordinator</t>
  </si>
  <si>
    <t>Walter Fertig</t>
  </si>
  <si>
    <t>walterfertig</t>
  </si>
  <si>
    <t>Washington State University</t>
  </si>
  <si>
    <t>Herbarium Collection Manager</t>
  </si>
  <si>
    <t>Wasyl Bakowsky</t>
  </si>
  <si>
    <t>wasylbakowsky</t>
  </si>
  <si>
    <t>Community Ecologist</t>
  </si>
  <si>
    <t>Katie Cody</t>
  </si>
  <si>
    <t>watchforsnakes</t>
  </si>
  <si>
    <t>Ellen Whittle</t>
  </si>
  <si>
    <t>watermellen</t>
  </si>
  <si>
    <t>Bat Project Manager</t>
  </si>
  <si>
    <t>MS University Wyoming; then Heritage zoology staff for 3 years in Wyoming</t>
  </si>
  <si>
    <t>Jay  Watson</t>
  </si>
  <si>
    <t>watsonjay</t>
  </si>
  <si>
    <t xml:space="preserve">Conservation Biologist </t>
  </si>
  <si>
    <t>Bumble Bees|Butterflies|Tiger Beetles|Diurnal Moths|Solitary Bees|Birds</t>
  </si>
  <si>
    <t>IIHYM%|IICOL%|IILEP%|AB%</t>
  </si>
  <si>
    <t>20+ years experience studying birds and terrestrial insects</t>
  </si>
  <si>
    <t>Wayne Longbottom</t>
  </si>
  <si>
    <t>waynesweeds</t>
  </si>
  <si>
    <t>William Van Hemessen</t>
  </si>
  <si>
    <t>wdvanhem</t>
  </si>
  <si>
    <t>Robert Wernerehl</t>
  </si>
  <si>
    <t>wernerehl</t>
  </si>
  <si>
    <t>State Botanist of Massachusetts</t>
  </si>
  <si>
    <t>Caitlin Willier</t>
  </si>
  <si>
    <t>whiskeyjack</t>
  </si>
  <si>
    <t>Alan Weakley</t>
  </si>
  <si>
    <t>whiteoak</t>
  </si>
  <si>
    <t>Fiona Brooks</t>
  </si>
  <si>
    <t>wild_and_fi</t>
  </si>
  <si>
    <t>lichens</t>
  </si>
  <si>
    <t>John Vanek</t>
  </si>
  <si>
    <t>wild_ecology</t>
  </si>
  <si>
    <t>John P. Vanek, PhD</t>
  </si>
  <si>
    <t>Jared Gorrell</t>
  </si>
  <si>
    <t>wildlander</t>
  </si>
  <si>
    <t>Vascular Plants|Reptiles|Amphibians|Fish (freshwater)|Birds</t>
  </si>
  <si>
    <t>P%|AR%|AA%|AF%|AB%</t>
  </si>
  <si>
    <t>Major expertise limited to Eastern U.S.</t>
  </si>
  <si>
    <t>Dwight Johnson</t>
  </si>
  <si>
    <t>wildwabbet</t>
  </si>
  <si>
    <t>Will Chatfield-Taylor</t>
  </si>
  <si>
    <t>willc-t</t>
  </si>
  <si>
    <t>William Busby</t>
  </si>
  <si>
    <t>william2584</t>
  </si>
  <si>
    <t>Clay Wilton</t>
  </si>
  <si>
    <t>wilto1cm</t>
  </si>
  <si>
    <t>Lindsey Wise</t>
  </si>
  <si>
    <t>wisel</t>
  </si>
  <si>
    <t>Lindsey K. Wise</t>
  </si>
  <si>
    <t>Biodiversity Data Manager</t>
  </si>
  <si>
    <t>Wesley Knapp</t>
  </si>
  <si>
    <t>wmknapp</t>
  </si>
  <si>
    <t>Wes Knapp</t>
  </si>
  <si>
    <t>NatureServe Staff List and MBP Expert List</t>
  </si>
  <si>
    <t>wojciech</t>
  </si>
  <si>
    <t>Wolfgang Blum</t>
  </si>
  <si>
    <t>wolfgangb</t>
  </si>
  <si>
    <t>Xian Zhou</t>
  </si>
  <si>
    <t>xianzx</t>
  </si>
  <si>
    <t>Hobbyist</t>
  </si>
  <si>
    <t>Nina Fogel nina.fogel@mdc.mo.gov on 2/11/25</t>
  </si>
  <si>
    <t>Yvonne Chauvin</t>
  </si>
  <si>
    <t>ydchauvin</t>
  </si>
  <si>
    <t>John Zaborsky</t>
  </si>
  <si>
    <t>z-bot</t>
  </si>
  <si>
    <t>University of Wisconsin</t>
  </si>
  <si>
    <t>Zachary Dankowicz</t>
  </si>
  <si>
    <t>zdanko</t>
  </si>
  <si>
    <t>Smithsonian Institution</t>
  </si>
  <si>
    <t>Volunteer</t>
  </si>
  <si>
    <t>Zach Portman</t>
  </si>
  <si>
    <t>zportman</t>
  </si>
  <si>
    <t>Amy Knight</t>
  </si>
  <si>
    <t>GIS Program Specialist</t>
  </si>
  <si>
    <t>Scientific Name</t>
  </si>
  <si>
    <t>Common Name</t>
  </si>
  <si>
    <t>Taxonomic Level</t>
  </si>
  <si>
    <t>Geographic Area of Revelance</t>
  </si>
  <si>
    <t>What is required to reliably determine species identification?</t>
  </si>
  <si>
    <t>Submitter Name</t>
  </si>
  <si>
    <t>Submitter Email</t>
  </si>
  <si>
    <t>Neotamias ruficaudus; Neotamias amoenus; Neotamias minimus</t>
  </si>
  <si>
    <t>Red-tailed chipmunk; Yellow-pine Chipmunk; Least Chipmunk</t>
  </si>
  <si>
    <t>Neotamias</t>
  </si>
  <si>
    <t>Mountainous areas of Northern Rockies where species co-occur</t>
  </si>
  <si>
    <t>Clean skeleton. Occasionally individuals can be identified based on pelage and detailed habitat but this is rare.</t>
  </si>
  <si>
    <t>dbachen@mt.gov</t>
  </si>
  <si>
    <t>No_Curators</t>
  </si>
  <si>
    <t>Overall</t>
  </si>
  <si>
    <t>Total</t>
  </si>
  <si>
    <t>Count &gt; 0</t>
  </si>
  <si>
    <t>Average</t>
  </si>
  <si>
    <t>Other Experts</t>
  </si>
  <si>
    <t>Current or Former NatureServe Network Staff</t>
  </si>
  <si>
    <t>Count of Experts with Taxonomic Expertise Listed</t>
  </si>
  <si>
    <t>460 of 717...so 257 network staff have iNaturalist accounts, but their expertise is not yet listed.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</si>
</sst>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theme="1"/>
      <name val="Calibri"/>
    </font>
    <font>
      <color theme="1"/>
      <name val="Calibri"/>
      <scheme val="minor"/>
    </font>
    <font>
      <sz val="11.0"/>
      <color rgb="FF000000"/>
      <name val="&quot;Aptos Narrow&quot;"/>
    </font>
    <font>
      <sz val="11.0"/>
      <color rgb="FF000000"/>
      <name val="Arial"/>
    </font>
    <font>
      <u/>
      <color rgb="FF0000FF"/>
    </font>
    <font>
      <color rgb="FF000000"/>
      <name val="&quot;Arial Unicode MS&quot;"/>
    </font>
    <font>
      <sz val="11.0"/>
      <color rgb="FF333333"/>
      <name val="Arial"/>
    </font>
    <font>
      <sz val="11.0"/>
      <color rgb="FF000000"/>
      <name val="Docs-Calibri"/>
    </font>
    <font>
      <u/>
      <color rgb="FF0563C1"/>
    </font>
    <font>
      <u/>
      <color rgb="FF0000FF"/>
    </font>
    <font>
      <sz val="11.0"/>
      <color rgb="FF1F1F1F"/>
      <name val="Calibri"/>
      <scheme val="minor"/>
    </font>
    <font>
      <b/>
      <sz val="11.0"/>
      <color theme="1"/>
      <name val="Calibri"/>
      <scheme val="minor"/>
    </font>
    <font>
      <sz val="11.0"/>
      <color rgb="FF000000"/>
      <name val="Calibri"/>
    </font>
    <font>
      <sz val="11.0"/>
      <color theme="1"/>
      <name val="Calibri"/>
    </font>
    <font>
      <b/>
      <color theme="1"/>
      <name val="Calibri"/>
      <scheme val="minor"/>
    </font>
  </fonts>
  <fills count="6">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theme="0"/>
        <bgColor theme="0"/>
      </patternFill>
    </fill>
    <fill>
      <patternFill patternType="solid">
        <fgColor rgb="FFD8D8D8"/>
        <bgColor rgb="FFD8D8D8"/>
      </patternFill>
    </fill>
  </fills>
  <borders count="4">
    <border/>
    <border>
      <left/>
      <right/>
      <top/>
      <bottom/>
    </border>
    <border>
      <top style="thin">
        <color rgb="FF9BC2E6"/>
      </top>
      <bottom style="thin">
        <color rgb="FF9BC2E6"/>
      </bottom>
    </border>
    <border>
      <right style="thin">
        <color rgb="FF9BC2E6"/>
      </right>
      <top style="thin">
        <color rgb="FF9BC2E6"/>
      </top>
      <bottom style="thin">
        <color rgb="FF9BC2E6"/>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Border="1" applyFill="1" applyFont="1"/>
    <xf borderId="1" fillId="2" fontId="1" numFmtId="1" xfId="0" applyBorder="1" applyFont="1" applyNumberFormat="1"/>
    <xf borderId="1" fillId="2" fontId="1" numFmtId="0" xfId="0" applyAlignment="1" applyBorder="1" applyFont="1">
      <alignment readingOrder="0"/>
    </xf>
    <xf borderId="0" fillId="0" fontId="2" numFmtId="0" xfId="0" applyFont="1"/>
    <xf borderId="0" fillId="0" fontId="2" numFmtId="1" xfId="0" applyFont="1" applyNumberFormat="1"/>
    <xf borderId="0" fillId="0" fontId="2" numFmtId="0" xfId="0" applyAlignment="1" applyFont="1">
      <alignment readingOrder="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2" numFmtId="1" xfId="0" applyAlignment="1" applyFont="1" applyNumberFormat="1">
      <alignment readingOrder="0"/>
    </xf>
    <xf borderId="0" fillId="0" fontId="3" numFmtId="0" xfId="0" applyAlignment="1" applyFont="1">
      <alignment shrinkToFit="0" vertical="bottom" wrapText="0"/>
    </xf>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xf>
    <xf borderId="0" fillId="0" fontId="6" numFmtId="0" xfId="0" applyAlignment="1" applyFont="1">
      <alignment horizontal="right" readingOrder="0" shrinkToFit="0" wrapText="0"/>
    </xf>
    <xf borderId="0" fillId="3" fontId="7" numFmtId="0" xfId="0" applyAlignment="1" applyFill="1" applyFont="1">
      <alignment readingOrder="0"/>
    </xf>
    <xf borderId="0" fillId="3" fontId="8" numFmtId="0" xfId="0" applyAlignment="1" applyFont="1">
      <alignment horizontal="left" readingOrder="0"/>
    </xf>
    <xf borderId="0" fillId="0" fontId="9" numFmtId="0" xfId="0" applyAlignment="1" applyFont="1">
      <alignment readingOrder="0"/>
    </xf>
    <xf borderId="0" fillId="0" fontId="2" numFmtId="0" xfId="0" applyAlignment="1" applyFont="1">
      <alignment readingOrder="0"/>
    </xf>
    <xf borderId="0" fillId="0" fontId="10" numFmtId="0" xfId="0" applyAlignment="1" applyFont="1">
      <alignment readingOrder="0"/>
    </xf>
    <xf borderId="0" fillId="3" fontId="11" numFmtId="0" xfId="0" applyAlignment="1" applyFont="1">
      <alignment readingOrder="0"/>
    </xf>
    <xf borderId="0" fillId="2" fontId="12" numFmtId="0" xfId="0" applyAlignment="1" applyFont="1">
      <alignment readingOrder="0"/>
    </xf>
    <xf borderId="0" fillId="2" fontId="12" numFmtId="0" xfId="0" applyFont="1"/>
    <xf borderId="2" fillId="4" fontId="13" numFmtId="0" xfId="0" applyAlignment="1" applyBorder="1" applyFill="1" applyFont="1">
      <alignment readingOrder="0" shrinkToFit="0" vertical="bottom" wrapText="0"/>
    </xf>
    <xf borderId="3" fillId="4" fontId="13" numFmtId="0" xfId="0" applyAlignment="1" applyBorder="1" applyFont="1">
      <alignment readingOrder="0" shrinkToFit="0" vertical="bottom" wrapText="0"/>
    </xf>
    <xf borderId="1" fillId="5" fontId="1" numFmtId="0" xfId="0" applyBorder="1" applyFill="1" applyFont="1"/>
    <xf borderId="1" fillId="5" fontId="1" numFmtId="0" xfId="0" applyAlignment="1" applyBorder="1" applyFont="1">
      <alignment readingOrder="0"/>
    </xf>
    <xf borderId="0" fillId="0" fontId="1" numFmtId="0" xfId="0" applyFont="1"/>
    <xf borderId="0" fillId="0" fontId="14" numFmtId="1" xfId="0" applyFont="1" applyNumberFormat="1"/>
    <xf borderId="0" fillId="0" fontId="1" numFmtId="0" xfId="0" applyAlignment="1" applyFont="1">
      <alignment readingOrder="0"/>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ericanisopodsmyriapods.com/taxonomic-guide-to-isopods-of-north-america" TargetMode="External"/><Relationship Id="rId2" Type="http://schemas.openxmlformats.org/officeDocument/2006/relationships/hyperlink" Target="https://www.americanisopodsmyriapods.com/taxonomic-guide-to-isopods-of-north-america" TargetMode="External"/><Relationship Id="rId3" Type="http://schemas.openxmlformats.org/officeDocument/2006/relationships/hyperlink" Target="https://www.americanisopodsmyriapods.com/taxonomic-guide-to-isopods-of-north-america" TargetMode="External"/><Relationship Id="rId4" Type="http://schemas.openxmlformats.org/officeDocument/2006/relationships/hyperlink" Target="https://www.inaturalist.org/users/15692" TargetMode="External"/><Relationship Id="rId5" Type="http://schemas.openxmlformats.org/officeDocument/2006/relationships/hyperlink" Target="https://nativefishfortomorrow.org/" TargetMode="External"/><Relationship Id="rId6" Type="http://schemas.openxmlformats.org/officeDocument/2006/relationships/hyperlink" Target="https://research.fs.usda.gov/about/people/sadams0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6.0"/>
    <col customWidth="1" min="2" max="2" width="19.71"/>
    <col customWidth="1" min="3" max="3" width="24.86"/>
    <col customWidth="1" min="4" max="4" width="12.86"/>
    <col customWidth="1" min="5" max="5" width="10.71"/>
    <col customWidth="1" min="6" max="6" width="41.86"/>
    <col customWidth="1" min="7" max="7" width="37.14"/>
    <col customWidth="1" min="8" max="8" width="65.29"/>
    <col customWidth="1" min="9" max="9" width="25.0"/>
    <col customWidth="1" min="10" max="10" width="33.0"/>
    <col customWidth="1" min="11" max="11" width="19.0"/>
    <col customWidth="1" min="12" max="12" width="57.0"/>
    <col customWidth="1" min="13" max="13" width="19.0"/>
    <col customWidth="1" min="14" max="14" width="20.0"/>
    <col customWidth="1" min="15" max="15" width="14.0"/>
    <col customWidth="1" min="16" max="16" width="10.57"/>
    <col customWidth="1" min="17" max="26" width="8.71"/>
  </cols>
  <sheetData>
    <row r="1" ht="14.25" customHeight="1">
      <c r="A1" s="1" t="s">
        <v>0</v>
      </c>
      <c r="B1" s="1" t="s">
        <v>1</v>
      </c>
      <c r="C1" s="1" t="s">
        <v>2</v>
      </c>
      <c r="D1" s="2" t="s">
        <v>3</v>
      </c>
      <c r="E1" s="1" t="s">
        <v>4</v>
      </c>
      <c r="F1" s="1" t="s">
        <v>5</v>
      </c>
      <c r="G1" s="1" t="s">
        <v>6</v>
      </c>
      <c r="H1" s="1" t="s">
        <v>7</v>
      </c>
      <c r="I1" s="3" t="s">
        <v>8</v>
      </c>
      <c r="J1" s="1" t="s">
        <v>9</v>
      </c>
      <c r="K1" s="1" t="s">
        <v>10</v>
      </c>
      <c r="L1" s="3" t="s">
        <v>11</v>
      </c>
      <c r="M1" s="1" t="s">
        <v>12</v>
      </c>
      <c r="N1" s="1" t="s">
        <v>13</v>
      </c>
      <c r="O1" s="1" t="s">
        <v>14</v>
      </c>
      <c r="P1" s="1" t="s">
        <v>15</v>
      </c>
      <c r="Q1" s="1"/>
      <c r="R1" s="1"/>
      <c r="S1" s="1"/>
      <c r="T1" s="1"/>
      <c r="U1" s="1"/>
      <c r="V1" s="1"/>
      <c r="W1" s="1"/>
      <c r="X1" s="1"/>
      <c r="Y1" s="1"/>
      <c r="Z1" s="1"/>
    </row>
    <row r="2" ht="14.25" customHeight="1">
      <c r="A2" s="4" t="s">
        <v>16</v>
      </c>
      <c r="B2" s="4" t="s">
        <v>17</v>
      </c>
      <c r="D2" s="5">
        <v>1381960.0</v>
      </c>
      <c r="E2" s="4" t="s">
        <v>18</v>
      </c>
      <c r="F2" s="4" t="s">
        <v>19</v>
      </c>
      <c r="G2" s="4" t="s">
        <v>20</v>
      </c>
      <c r="H2" s="4" t="s">
        <v>21</v>
      </c>
      <c r="I2" s="6" t="s">
        <v>22</v>
      </c>
      <c r="K2" s="4" t="s">
        <v>23</v>
      </c>
      <c r="L2" s="4" t="s">
        <v>24</v>
      </c>
      <c r="M2" s="7">
        <v>18289.0</v>
      </c>
      <c r="N2" s="7">
        <v>24311.0</v>
      </c>
      <c r="O2" s="7">
        <v>2030.0</v>
      </c>
      <c r="P2" s="8"/>
    </row>
    <row r="3" ht="14.25" customHeight="1">
      <c r="A3" s="4" t="s">
        <v>25</v>
      </c>
      <c r="B3" s="4" t="s">
        <v>26</v>
      </c>
      <c r="C3" s="4" t="s">
        <v>25</v>
      </c>
      <c r="D3" s="5">
        <v>35013.0</v>
      </c>
      <c r="E3" s="4" t="s">
        <v>27</v>
      </c>
      <c r="F3" s="4" t="s">
        <v>28</v>
      </c>
      <c r="L3" s="4" t="s">
        <v>29</v>
      </c>
      <c r="M3" s="7">
        <v>845.0</v>
      </c>
      <c r="N3" s="7">
        <v>870.0</v>
      </c>
      <c r="O3" s="7">
        <v>471.0</v>
      </c>
      <c r="P3" s="8"/>
    </row>
    <row r="4" ht="14.25" customHeight="1">
      <c r="A4" s="4" t="s">
        <v>30</v>
      </c>
      <c r="B4" s="4" t="s">
        <v>31</v>
      </c>
      <c r="C4" s="4" t="s">
        <v>30</v>
      </c>
      <c r="D4" s="5">
        <v>1340454.0</v>
      </c>
      <c r="E4" s="4" t="s">
        <v>27</v>
      </c>
      <c r="F4" s="4" t="s">
        <v>32</v>
      </c>
      <c r="G4" s="4" t="s">
        <v>33</v>
      </c>
      <c r="L4" s="4" t="s">
        <v>34</v>
      </c>
      <c r="M4" s="7">
        <v>7213.0</v>
      </c>
      <c r="N4" s="7">
        <v>5416.0</v>
      </c>
      <c r="O4" s="7">
        <v>1941.0</v>
      </c>
      <c r="P4" s="8"/>
    </row>
    <row r="5" ht="14.25" customHeight="1">
      <c r="A5" s="4" t="s">
        <v>35</v>
      </c>
      <c r="B5" s="4" t="s">
        <v>36</v>
      </c>
      <c r="C5" s="4" t="s">
        <v>35</v>
      </c>
      <c r="D5" s="5">
        <v>266181.0</v>
      </c>
      <c r="E5" s="4" t="s">
        <v>18</v>
      </c>
      <c r="H5" s="4" t="s">
        <v>37</v>
      </c>
      <c r="I5" s="6" t="s">
        <v>38</v>
      </c>
      <c r="L5" s="4" t="s">
        <v>39</v>
      </c>
      <c r="M5" s="7">
        <v>3907.0</v>
      </c>
      <c r="N5" s="7">
        <v>48819.0</v>
      </c>
      <c r="O5" s="7">
        <v>2107.0</v>
      </c>
      <c r="P5" s="9" t="s">
        <v>40</v>
      </c>
    </row>
    <row r="6" ht="14.25" customHeight="1">
      <c r="A6" s="4" t="s">
        <v>41</v>
      </c>
      <c r="B6" s="4" t="s">
        <v>42</v>
      </c>
      <c r="C6" s="4" t="s">
        <v>41</v>
      </c>
      <c r="D6" s="5">
        <v>682499.0</v>
      </c>
      <c r="E6" s="6" t="s">
        <v>43</v>
      </c>
      <c r="H6" s="6" t="s">
        <v>44</v>
      </c>
      <c r="I6" s="6" t="s">
        <v>45</v>
      </c>
      <c r="L6" s="4" t="s">
        <v>34</v>
      </c>
      <c r="M6" s="7">
        <v>281.0</v>
      </c>
      <c r="N6" s="7">
        <v>60.0</v>
      </c>
      <c r="O6" s="7">
        <v>168.0</v>
      </c>
      <c r="P6" s="8"/>
    </row>
    <row r="7" ht="14.25" customHeight="1">
      <c r="A7" s="4" t="s">
        <v>46</v>
      </c>
      <c r="B7" s="4" t="s">
        <v>47</v>
      </c>
      <c r="D7" s="5">
        <v>3304841.0</v>
      </c>
      <c r="E7" s="4" t="s">
        <v>18</v>
      </c>
      <c r="F7" s="4" t="s">
        <v>48</v>
      </c>
      <c r="G7" s="4" t="s">
        <v>49</v>
      </c>
      <c r="H7" s="4" t="s">
        <v>50</v>
      </c>
      <c r="I7" s="6" t="s">
        <v>51</v>
      </c>
      <c r="K7" s="4" t="s">
        <v>52</v>
      </c>
      <c r="L7" s="4" t="s">
        <v>53</v>
      </c>
      <c r="M7" s="7">
        <v>399.0</v>
      </c>
      <c r="N7" s="7">
        <v>35462.0</v>
      </c>
      <c r="O7" s="7">
        <v>30.0</v>
      </c>
      <c r="P7" s="8"/>
    </row>
    <row r="8" ht="14.25" customHeight="1">
      <c r="A8" s="4" t="s">
        <v>54</v>
      </c>
      <c r="B8" s="4" t="s">
        <v>55</v>
      </c>
      <c r="C8" s="4" t="s">
        <v>54</v>
      </c>
      <c r="D8" s="5">
        <v>2528838.0</v>
      </c>
      <c r="E8" s="4" t="s">
        <v>27</v>
      </c>
      <c r="F8" s="4" t="s">
        <v>56</v>
      </c>
      <c r="G8" s="4" t="s">
        <v>57</v>
      </c>
      <c r="L8" s="4" t="s">
        <v>34</v>
      </c>
      <c r="M8" s="7">
        <v>110.0</v>
      </c>
      <c r="N8" s="7">
        <v>0.0</v>
      </c>
      <c r="O8" s="7">
        <v>82.0</v>
      </c>
      <c r="P8" s="8"/>
    </row>
    <row r="9" ht="14.25" customHeight="1">
      <c r="A9" s="4" t="s">
        <v>58</v>
      </c>
      <c r="B9" s="4" t="s">
        <v>59</v>
      </c>
      <c r="C9" s="4" t="s">
        <v>58</v>
      </c>
      <c r="D9" s="5">
        <v>1327158.0</v>
      </c>
      <c r="E9" s="4" t="s">
        <v>18</v>
      </c>
      <c r="F9" s="4" t="s">
        <v>60</v>
      </c>
      <c r="G9" s="4" t="s">
        <v>61</v>
      </c>
      <c r="H9" s="4" t="s">
        <v>62</v>
      </c>
      <c r="I9" s="6" t="s">
        <v>63</v>
      </c>
      <c r="J9" s="4" t="s">
        <v>64</v>
      </c>
      <c r="L9" s="4" t="s">
        <v>65</v>
      </c>
      <c r="M9" s="7">
        <v>59.0</v>
      </c>
      <c r="N9" s="7">
        <v>13981.0</v>
      </c>
      <c r="O9" s="7">
        <v>48.0</v>
      </c>
      <c r="P9" s="9" t="s">
        <v>40</v>
      </c>
    </row>
    <row r="10" ht="14.25" customHeight="1">
      <c r="A10" s="4" t="s">
        <v>66</v>
      </c>
      <c r="B10" s="6" t="s">
        <v>67</v>
      </c>
      <c r="C10" s="6" t="s">
        <v>66</v>
      </c>
      <c r="D10" s="10">
        <v>7072130.0</v>
      </c>
      <c r="E10" s="4" t="s">
        <v>27</v>
      </c>
      <c r="F10" s="4" t="s">
        <v>68</v>
      </c>
      <c r="G10" s="4" t="s">
        <v>69</v>
      </c>
      <c r="H10" s="6" t="s">
        <v>70</v>
      </c>
      <c r="I10" s="6" t="s">
        <v>38</v>
      </c>
      <c r="L10" s="6" t="s">
        <v>71</v>
      </c>
      <c r="M10" s="7">
        <v>0.0</v>
      </c>
      <c r="N10" s="7">
        <v>0.0</v>
      </c>
      <c r="O10" s="7">
        <v>0.0</v>
      </c>
      <c r="P10" s="11"/>
    </row>
    <row r="11" ht="14.25" customHeight="1">
      <c r="A11" s="4" t="s">
        <v>72</v>
      </c>
      <c r="B11" s="4" t="s">
        <v>73</v>
      </c>
      <c r="C11" s="4" t="s">
        <v>74</v>
      </c>
      <c r="D11" s="5">
        <v>1122139.0</v>
      </c>
      <c r="E11" s="4" t="s">
        <v>27</v>
      </c>
      <c r="F11" s="4" t="s">
        <v>75</v>
      </c>
      <c r="G11" s="4" t="s">
        <v>76</v>
      </c>
      <c r="L11" s="4" t="s">
        <v>34</v>
      </c>
      <c r="M11" s="7">
        <v>98.0</v>
      </c>
      <c r="N11" s="7">
        <v>2.0</v>
      </c>
      <c r="O11" s="7">
        <v>79.0</v>
      </c>
      <c r="P11" s="8"/>
    </row>
    <row r="12" ht="14.25" customHeight="1">
      <c r="A12" s="4" t="s">
        <v>77</v>
      </c>
      <c r="B12" s="4" t="s">
        <v>78</v>
      </c>
      <c r="D12" s="5">
        <v>1387541.0</v>
      </c>
      <c r="E12" s="4" t="s">
        <v>27</v>
      </c>
      <c r="F12" s="4" t="s">
        <v>79</v>
      </c>
      <c r="G12" s="4" t="s">
        <v>80</v>
      </c>
      <c r="L12" s="4" t="s">
        <v>34</v>
      </c>
      <c r="M12" s="7">
        <v>290.0</v>
      </c>
      <c r="N12" s="7">
        <v>7.0</v>
      </c>
      <c r="O12" s="7">
        <v>210.0</v>
      </c>
      <c r="P12" s="8"/>
    </row>
    <row r="13" ht="14.25" customHeight="1">
      <c r="A13" s="4" t="s">
        <v>81</v>
      </c>
      <c r="B13" s="4" t="s">
        <v>82</v>
      </c>
      <c r="C13" s="4" t="s">
        <v>81</v>
      </c>
      <c r="D13" s="5">
        <v>1297292.0</v>
      </c>
      <c r="E13" s="4" t="s">
        <v>27</v>
      </c>
      <c r="F13" s="4" t="s">
        <v>83</v>
      </c>
      <c r="G13" s="4" t="s">
        <v>84</v>
      </c>
      <c r="L13" s="4" t="s">
        <v>34</v>
      </c>
      <c r="M13" s="7">
        <v>136.0</v>
      </c>
      <c r="N13" s="7">
        <v>88.0</v>
      </c>
      <c r="O13" s="7">
        <v>115.0</v>
      </c>
      <c r="P13" s="8"/>
    </row>
    <row r="14" ht="14.25" customHeight="1">
      <c r="A14" s="6" t="s">
        <v>85</v>
      </c>
      <c r="B14" s="6" t="s">
        <v>86</v>
      </c>
      <c r="C14" s="6" t="s">
        <v>85</v>
      </c>
      <c r="D14" s="10">
        <v>11864.0</v>
      </c>
      <c r="E14" s="6" t="s">
        <v>18</v>
      </c>
      <c r="F14" s="6" t="s">
        <v>87</v>
      </c>
      <c r="G14" s="6" t="s">
        <v>88</v>
      </c>
      <c r="H14" s="6" t="s">
        <v>89</v>
      </c>
      <c r="I14" s="6" t="s">
        <v>90</v>
      </c>
      <c r="J14" s="6" t="s">
        <v>91</v>
      </c>
      <c r="L14" s="6" t="s">
        <v>71</v>
      </c>
      <c r="M14" s="7">
        <v>1047.0</v>
      </c>
      <c r="N14" s="7">
        <v>266.0</v>
      </c>
      <c r="O14" s="7">
        <v>441.0</v>
      </c>
      <c r="P14" s="8"/>
    </row>
    <row r="15" ht="14.25" customHeight="1">
      <c r="A15" s="4" t="s">
        <v>92</v>
      </c>
      <c r="B15" s="4" t="s">
        <v>93</v>
      </c>
      <c r="D15" s="5">
        <v>1254600.0</v>
      </c>
      <c r="E15" s="4" t="s">
        <v>18</v>
      </c>
      <c r="H15" s="4" t="s">
        <v>50</v>
      </c>
      <c r="I15" s="6" t="s">
        <v>51</v>
      </c>
      <c r="K15" s="4" t="s">
        <v>94</v>
      </c>
      <c r="L15" s="4" t="s">
        <v>53</v>
      </c>
      <c r="M15" s="7">
        <v>3071.0</v>
      </c>
      <c r="N15" s="7">
        <v>65876.0</v>
      </c>
      <c r="O15" s="7">
        <v>62.0</v>
      </c>
      <c r="P15" s="8"/>
    </row>
    <row r="16" ht="14.25" customHeight="1">
      <c r="A16" s="4" t="s">
        <v>95</v>
      </c>
      <c r="B16" s="4" t="s">
        <v>96</v>
      </c>
      <c r="D16" s="5">
        <v>533332.0</v>
      </c>
      <c r="E16" s="4" t="s">
        <v>18</v>
      </c>
      <c r="F16" s="4" t="s">
        <v>97</v>
      </c>
      <c r="G16" s="4" t="s">
        <v>98</v>
      </c>
      <c r="H16" s="4" t="s">
        <v>99</v>
      </c>
      <c r="I16" s="6" t="s">
        <v>100</v>
      </c>
      <c r="K16" s="4" t="s">
        <v>101</v>
      </c>
      <c r="L16" s="4" t="s">
        <v>24</v>
      </c>
      <c r="M16" s="7">
        <v>1211.0</v>
      </c>
      <c r="N16" s="7">
        <v>1495.0</v>
      </c>
      <c r="O16" s="7">
        <v>730.0</v>
      </c>
      <c r="P16" s="8"/>
    </row>
    <row r="17" ht="14.25" customHeight="1">
      <c r="A17" s="6" t="s">
        <v>102</v>
      </c>
      <c r="B17" s="6" t="s">
        <v>103</v>
      </c>
      <c r="D17" s="10">
        <v>3596662.0</v>
      </c>
      <c r="E17" s="6" t="s">
        <v>27</v>
      </c>
      <c r="F17" s="6" t="s">
        <v>104</v>
      </c>
      <c r="G17" s="6" t="s">
        <v>105</v>
      </c>
      <c r="H17" s="4" t="s">
        <v>106</v>
      </c>
      <c r="I17" s="6" t="s">
        <v>107</v>
      </c>
      <c r="J17" s="6" t="s">
        <v>108</v>
      </c>
      <c r="L17" s="6" t="s">
        <v>71</v>
      </c>
      <c r="M17" s="7">
        <v>0.0</v>
      </c>
      <c r="N17" s="7">
        <v>0.0</v>
      </c>
      <c r="O17" s="7">
        <v>0.0</v>
      </c>
      <c r="P17" s="8"/>
    </row>
    <row r="18" ht="14.25" customHeight="1">
      <c r="A18" s="6" t="s">
        <v>109</v>
      </c>
      <c r="B18" s="6" t="s">
        <v>110</v>
      </c>
      <c r="C18" s="6" t="s">
        <v>109</v>
      </c>
      <c r="D18" s="10">
        <v>683372.0</v>
      </c>
      <c r="E18" s="6" t="s">
        <v>18</v>
      </c>
      <c r="F18" s="6" t="s">
        <v>48</v>
      </c>
      <c r="G18" s="6" t="s">
        <v>111</v>
      </c>
      <c r="H18" s="6" t="s">
        <v>112</v>
      </c>
      <c r="I18" s="6" t="s">
        <v>113</v>
      </c>
      <c r="K18" s="6" t="s">
        <v>114</v>
      </c>
      <c r="L18" s="6" t="s">
        <v>115</v>
      </c>
      <c r="M18" s="12">
        <v>6002.0</v>
      </c>
      <c r="N18" s="12">
        <v>17343.0</v>
      </c>
      <c r="O18" s="12">
        <v>2273.0</v>
      </c>
      <c r="P18" s="13" t="s">
        <v>40</v>
      </c>
    </row>
    <row r="19" ht="14.25" customHeight="1">
      <c r="A19" s="6" t="s">
        <v>116</v>
      </c>
      <c r="B19" s="6" t="s">
        <v>117</v>
      </c>
      <c r="C19" s="6" t="s">
        <v>116</v>
      </c>
      <c r="D19" s="10">
        <v>604948.0</v>
      </c>
      <c r="E19" s="6" t="s">
        <v>18</v>
      </c>
      <c r="H19" s="6" t="s">
        <v>118</v>
      </c>
      <c r="I19" s="6" t="s">
        <v>119</v>
      </c>
      <c r="J19" s="6" t="s">
        <v>120</v>
      </c>
      <c r="L19" s="6" t="s">
        <v>71</v>
      </c>
      <c r="M19" s="7">
        <v>4173.0</v>
      </c>
      <c r="N19" s="7">
        <v>50188.0</v>
      </c>
      <c r="O19" s="7">
        <v>1955.0</v>
      </c>
      <c r="P19" s="9" t="s">
        <v>40</v>
      </c>
    </row>
    <row r="20" ht="14.25" customHeight="1">
      <c r="A20" s="4" t="s">
        <v>121</v>
      </c>
      <c r="B20" s="4" t="s">
        <v>122</v>
      </c>
      <c r="C20" s="4" t="s">
        <v>121</v>
      </c>
      <c r="D20" s="5">
        <v>16288.0</v>
      </c>
      <c r="E20" s="4" t="s">
        <v>27</v>
      </c>
      <c r="F20" s="4" t="s">
        <v>123</v>
      </c>
      <c r="G20" s="4" t="s">
        <v>124</v>
      </c>
      <c r="H20" s="4" t="s">
        <v>125</v>
      </c>
      <c r="I20" s="6" t="s">
        <v>126</v>
      </c>
      <c r="L20" s="4" t="s">
        <v>34</v>
      </c>
      <c r="M20" s="7">
        <v>92.0</v>
      </c>
      <c r="N20" s="7">
        <v>13.0</v>
      </c>
      <c r="O20" s="7">
        <v>66.0</v>
      </c>
      <c r="P20" s="8"/>
    </row>
    <row r="21" ht="14.25" customHeight="1">
      <c r="A21" s="4" t="s">
        <v>127</v>
      </c>
      <c r="B21" s="4" t="s">
        <v>128</v>
      </c>
      <c r="C21" s="4" t="s">
        <v>129</v>
      </c>
      <c r="D21" s="5">
        <v>29618.0</v>
      </c>
      <c r="E21" s="4" t="s">
        <v>27</v>
      </c>
      <c r="F21" s="4" t="s">
        <v>130</v>
      </c>
      <c r="G21" s="4" t="s">
        <v>131</v>
      </c>
      <c r="L21" s="4" t="s">
        <v>34</v>
      </c>
      <c r="M21" s="7">
        <v>4723.0</v>
      </c>
      <c r="N21" s="7">
        <v>473.0</v>
      </c>
      <c r="O21" s="7">
        <v>2271.0</v>
      </c>
      <c r="P21" s="8"/>
    </row>
    <row r="22" ht="14.25" customHeight="1">
      <c r="A22" s="4" t="s">
        <v>132</v>
      </c>
      <c r="B22" s="4" t="s">
        <v>133</v>
      </c>
      <c r="C22" s="4" t="s">
        <v>132</v>
      </c>
      <c r="D22" s="5">
        <v>205278.0</v>
      </c>
      <c r="E22" s="4" t="s">
        <v>18</v>
      </c>
      <c r="F22" s="4" t="s">
        <v>134</v>
      </c>
      <c r="G22" s="4" t="s">
        <v>15</v>
      </c>
      <c r="H22" s="4" t="s">
        <v>70</v>
      </c>
      <c r="I22" s="6" t="s">
        <v>38</v>
      </c>
      <c r="K22" s="4" t="s">
        <v>23</v>
      </c>
      <c r="L22" s="4" t="s">
        <v>135</v>
      </c>
      <c r="M22" s="7">
        <v>4418.0</v>
      </c>
      <c r="N22" s="7">
        <v>201700.0</v>
      </c>
      <c r="O22" s="7">
        <v>1477.0</v>
      </c>
      <c r="P22" s="9" t="s">
        <v>40</v>
      </c>
    </row>
    <row r="23" ht="14.25" customHeight="1">
      <c r="A23" s="4" t="s">
        <v>136</v>
      </c>
      <c r="B23" s="4" t="s">
        <v>137</v>
      </c>
      <c r="C23" s="4" t="s">
        <v>136</v>
      </c>
      <c r="D23" s="5">
        <v>1067639.0</v>
      </c>
      <c r="E23" s="4" t="s">
        <v>27</v>
      </c>
      <c r="F23" s="4" t="s">
        <v>75</v>
      </c>
      <c r="G23" s="4" t="s">
        <v>138</v>
      </c>
      <c r="L23" s="4" t="s">
        <v>34</v>
      </c>
      <c r="M23" s="7">
        <v>12.0</v>
      </c>
      <c r="N23" s="7">
        <v>0.0</v>
      </c>
      <c r="O23" s="7">
        <v>10.0</v>
      </c>
      <c r="P23" s="8"/>
    </row>
    <row r="24" ht="14.25" customHeight="1">
      <c r="A24" s="4" t="s">
        <v>139</v>
      </c>
      <c r="B24" s="4" t="s">
        <v>140</v>
      </c>
      <c r="C24" s="4" t="s">
        <v>139</v>
      </c>
      <c r="D24" s="5">
        <v>25945.0</v>
      </c>
      <c r="E24" s="4" t="s">
        <v>18</v>
      </c>
      <c r="H24" s="4" t="s">
        <v>141</v>
      </c>
      <c r="I24" s="6" t="s">
        <v>142</v>
      </c>
      <c r="L24" s="4" t="s">
        <v>143</v>
      </c>
      <c r="M24" s="7">
        <v>28884.0</v>
      </c>
      <c r="N24" s="7">
        <v>300239.0</v>
      </c>
      <c r="O24" s="7">
        <v>6529.0</v>
      </c>
      <c r="P24" s="9" t="s">
        <v>40</v>
      </c>
    </row>
    <row r="25" ht="14.25" customHeight="1">
      <c r="A25" s="4" t="s">
        <v>144</v>
      </c>
      <c r="B25" s="4" t="s">
        <v>145</v>
      </c>
      <c r="C25" s="4" t="s">
        <v>144</v>
      </c>
      <c r="D25" s="5">
        <v>2650187.0</v>
      </c>
      <c r="E25" s="4" t="s">
        <v>18</v>
      </c>
      <c r="H25" s="4" t="s">
        <v>146</v>
      </c>
      <c r="I25" s="6" t="s">
        <v>147</v>
      </c>
      <c r="L25" s="4" t="s">
        <v>39</v>
      </c>
      <c r="M25" s="7">
        <v>1259.0</v>
      </c>
      <c r="N25" s="7">
        <v>124712.0</v>
      </c>
      <c r="O25" s="7">
        <v>105.0</v>
      </c>
      <c r="P25" s="8"/>
    </row>
    <row r="26" ht="14.25" customHeight="1">
      <c r="A26" s="4" t="s">
        <v>148</v>
      </c>
      <c r="B26" s="4" t="s">
        <v>149</v>
      </c>
      <c r="D26" s="5">
        <v>726060.0</v>
      </c>
      <c r="E26" s="4" t="s">
        <v>18</v>
      </c>
      <c r="H26" s="4" t="s">
        <v>150</v>
      </c>
      <c r="I26" s="6" t="s">
        <v>151</v>
      </c>
      <c r="J26" s="4" t="s">
        <v>152</v>
      </c>
      <c r="L26" s="4" t="s">
        <v>143</v>
      </c>
      <c r="M26" s="7">
        <v>1953.0</v>
      </c>
      <c r="N26" s="7">
        <v>202824.0</v>
      </c>
      <c r="O26" s="7">
        <v>1020.0</v>
      </c>
      <c r="P26" s="9" t="s">
        <v>40</v>
      </c>
    </row>
    <row r="27" ht="14.25" customHeight="1">
      <c r="A27" s="4" t="s">
        <v>153</v>
      </c>
      <c r="B27" s="4" t="s">
        <v>154</v>
      </c>
      <c r="C27" s="4" t="s">
        <v>153</v>
      </c>
      <c r="D27" s="5">
        <v>434305.0</v>
      </c>
      <c r="E27" s="4" t="s">
        <v>18</v>
      </c>
      <c r="H27" s="4" t="s">
        <v>155</v>
      </c>
      <c r="I27" s="6" t="s">
        <v>156</v>
      </c>
      <c r="J27" s="4" t="s">
        <v>157</v>
      </c>
      <c r="L27" s="4" t="s">
        <v>143</v>
      </c>
      <c r="M27" s="7">
        <v>9343.0</v>
      </c>
      <c r="N27" s="7">
        <v>203899.0</v>
      </c>
      <c r="O27" s="7">
        <v>3331.0</v>
      </c>
      <c r="P27" s="9" t="s">
        <v>40</v>
      </c>
    </row>
    <row r="28" ht="14.25" customHeight="1">
      <c r="A28" s="4" t="s">
        <v>158</v>
      </c>
      <c r="B28" s="4" t="s">
        <v>159</v>
      </c>
      <c r="C28" s="4" t="s">
        <v>158</v>
      </c>
      <c r="D28" s="5">
        <v>579740.0</v>
      </c>
      <c r="E28" s="4" t="s">
        <v>18</v>
      </c>
      <c r="F28" s="6" t="s">
        <v>160</v>
      </c>
      <c r="G28" s="6" t="s">
        <v>161</v>
      </c>
      <c r="H28" s="6" t="s">
        <v>162</v>
      </c>
      <c r="I28" s="6" t="s">
        <v>163</v>
      </c>
      <c r="L28" s="6" t="s">
        <v>164</v>
      </c>
      <c r="M28" s="7">
        <v>11851.0</v>
      </c>
      <c r="N28" s="7">
        <v>233520.0</v>
      </c>
      <c r="O28" s="7">
        <v>4519.0</v>
      </c>
      <c r="P28" s="9" t="s">
        <v>40</v>
      </c>
    </row>
    <row r="29" ht="14.25" customHeight="1">
      <c r="A29" s="4" t="s">
        <v>165</v>
      </c>
      <c r="B29" s="4" t="s">
        <v>166</v>
      </c>
      <c r="C29" s="4" t="s">
        <v>165</v>
      </c>
      <c r="D29" s="5">
        <v>4366607.0</v>
      </c>
      <c r="E29" s="4" t="s">
        <v>18</v>
      </c>
      <c r="F29" s="4" t="s">
        <v>167</v>
      </c>
      <c r="G29" s="4" t="s">
        <v>168</v>
      </c>
      <c r="H29" s="4" t="s">
        <v>70</v>
      </c>
      <c r="I29" s="6" t="s">
        <v>38</v>
      </c>
      <c r="K29" s="4" t="s">
        <v>169</v>
      </c>
      <c r="L29" s="4" t="s">
        <v>24</v>
      </c>
      <c r="M29" s="7">
        <v>142.0</v>
      </c>
      <c r="N29" s="7">
        <v>1402.0</v>
      </c>
      <c r="O29" s="7">
        <v>130.0</v>
      </c>
      <c r="P29" s="8"/>
    </row>
    <row r="30" ht="14.25" customHeight="1">
      <c r="A30" s="4" t="s">
        <v>170</v>
      </c>
      <c r="B30" s="4" t="s">
        <v>171</v>
      </c>
      <c r="C30" s="4" t="s">
        <v>170</v>
      </c>
      <c r="D30" s="5">
        <v>1659821.0</v>
      </c>
      <c r="E30" s="4" t="s">
        <v>27</v>
      </c>
      <c r="F30" s="4" t="s">
        <v>172</v>
      </c>
      <c r="L30" s="4" t="s">
        <v>29</v>
      </c>
      <c r="M30" s="7">
        <v>39.0</v>
      </c>
      <c r="N30" s="7">
        <v>3.0</v>
      </c>
      <c r="O30" s="7">
        <v>27.0</v>
      </c>
      <c r="P30" s="8"/>
    </row>
    <row r="31" ht="14.25" customHeight="1">
      <c r="A31" s="4" t="s">
        <v>173</v>
      </c>
      <c r="B31" s="4" t="s">
        <v>174</v>
      </c>
      <c r="C31" s="4" t="s">
        <v>175</v>
      </c>
      <c r="D31" s="5">
        <v>119123.0</v>
      </c>
      <c r="E31" s="4" t="s">
        <v>27</v>
      </c>
      <c r="F31" s="4" t="s">
        <v>176</v>
      </c>
      <c r="L31" s="4" t="s">
        <v>29</v>
      </c>
      <c r="M31" s="7">
        <v>144.0</v>
      </c>
      <c r="N31" s="7">
        <v>20.0</v>
      </c>
      <c r="O31" s="7">
        <v>105.0</v>
      </c>
      <c r="P31" s="9" t="s">
        <v>40</v>
      </c>
    </row>
    <row r="32" ht="14.25" customHeight="1">
      <c r="A32" s="4" t="s">
        <v>177</v>
      </c>
      <c r="B32" s="4" t="s">
        <v>178</v>
      </c>
      <c r="C32" s="4" t="s">
        <v>177</v>
      </c>
      <c r="D32" s="5">
        <v>406181.0</v>
      </c>
      <c r="E32" s="4" t="s">
        <v>27</v>
      </c>
      <c r="F32" s="4" t="s">
        <v>179</v>
      </c>
      <c r="G32" s="4" t="s">
        <v>168</v>
      </c>
      <c r="L32" s="4" t="s">
        <v>34</v>
      </c>
      <c r="M32" s="7">
        <v>191.0</v>
      </c>
      <c r="N32" s="7">
        <v>61.0</v>
      </c>
      <c r="O32" s="7">
        <v>179.0</v>
      </c>
      <c r="P32" s="8"/>
    </row>
    <row r="33" ht="14.25" customHeight="1">
      <c r="A33" s="4" t="s">
        <v>180</v>
      </c>
      <c r="B33" s="4" t="s">
        <v>181</v>
      </c>
      <c r="D33" s="5">
        <v>1513192.0</v>
      </c>
      <c r="E33" s="4" t="s">
        <v>18</v>
      </c>
      <c r="H33" s="4" t="s">
        <v>182</v>
      </c>
      <c r="I33" s="6" t="s">
        <v>126</v>
      </c>
      <c r="K33" s="4" t="s">
        <v>94</v>
      </c>
      <c r="L33" s="4" t="s">
        <v>24</v>
      </c>
      <c r="M33" s="7">
        <v>408.0</v>
      </c>
      <c r="N33" s="7">
        <v>538.0</v>
      </c>
      <c r="O33" s="7">
        <v>289.0</v>
      </c>
      <c r="P33" s="8"/>
    </row>
    <row r="34" ht="14.25" customHeight="1">
      <c r="A34" s="6" t="s">
        <v>183</v>
      </c>
      <c r="B34" s="6" t="s">
        <v>184</v>
      </c>
      <c r="D34" s="10">
        <v>7366982.0</v>
      </c>
      <c r="E34" s="6" t="s">
        <v>27</v>
      </c>
      <c r="F34" s="6" t="s">
        <v>185</v>
      </c>
      <c r="G34" s="6" t="s">
        <v>186</v>
      </c>
      <c r="H34" s="6" t="s">
        <v>182</v>
      </c>
      <c r="I34" s="6" t="s">
        <v>126</v>
      </c>
      <c r="L34" s="6" t="s">
        <v>71</v>
      </c>
      <c r="M34" s="7">
        <v>244.0</v>
      </c>
      <c r="N34" s="7">
        <v>105.0</v>
      </c>
      <c r="O34" s="7">
        <v>212.0</v>
      </c>
      <c r="P34" s="8"/>
    </row>
    <row r="35" ht="14.25" customHeight="1">
      <c r="A35" s="4" t="s">
        <v>187</v>
      </c>
      <c r="B35" s="4" t="s">
        <v>188</v>
      </c>
      <c r="C35" s="4" t="s">
        <v>187</v>
      </c>
      <c r="D35" s="5">
        <v>7443072.0</v>
      </c>
      <c r="E35" s="4" t="s">
        <v>27</v>
      </c>
      <c r="F35" s="4" t="s">
        <v>189</v>
      </c>
      <c r="G35" s="4" t="s">
        <v>190</v>
      </c>
      <c r="L35" s="4" t="s">
        <v>34</v>
      </c>
      <c r="M35" s="7">
        <v>0.0</v>
      </c>
      <c r="N35" s="7">
        <v>0.0</v>
      </c>
      <c r="O35" s="7">
        <v>0.0</v>
      </c>
      <c r="P35" s="8"/>
    </row>
    <row r="36" ht="14.25" customHeight="1">
      <c r="A36" s="4" t="s">
        <v>191</v>
      </c>
      <c r="B36" s="4" t="s">
        <v>192</v>
      </c>
      <c r="C36" s="4" t="s">
        <v>191</v>
      </c>
      <c r="D36" s="5">
        <v>917390.0</v>
      </c>
      <c r="E36" s="4" t="s">
        <v>18</v>
      </c>
      <c r="H36" s="4" t="s">
        <v>193</v>
      </c>
      <c r="I36" s="6" t="s">
        <v>63</v>
      </c>
      <c r="L36" s="4" t="s">
        <v>65</v>
      </c>
      <c r="M36" s="7">
        <v>13262.0</v>
      </c>
      <c r="N36" s="7">
        <v>91187.0</v>
      </c>
      <c r="O36" s="7">
        <v>3770.0</v>
      </c>
      <c r="P36" s="9" t="s">
        <v>40</v>
      </c>
    </row>
    <row r="37" ht="14.25" customHeight="1">
      <c r="A37" s="6" t="s">
        <v>194</v>
      </c>
      <c r="B37" s="6" t="s">
        <v>195</v>
      </c>
      <c r="C37" s="6" t="s">
        <v>194</v>
      </c>
      <c r="D37" s="10">
        <v>14828.0</v>
      </c>
      <c r="E37" s="6" t="s">
        <v>18</v>
      </c>
      <c r="F37" s="6" t="s">
        <v>196</v>
      </c>
      <c r="G37" s="6" t="s">
        <v>197</v>
      </c>
      <c r="H37" s="6" t="s">
        <v>198</v>
      </c>
      <c r="I37" s="6" t="s">
        <v>38</v>
      </c>
      <c r="L37" s="6" t="s">
        <v>71</v>
      </c>
      <c r="M37" s="7">
        <v>1650.0</v>
      </c>
      <c r="N37" s="7">
        <v>41.0</v>
      </c>
      <c r="O37" s="7">
        <v>1049.0</v>
      </c>
      <c r="P37" s="8"/>
    </row>
    <row r="38" ht="14.25" customHeight="1">
      <c r="A38" s="6" t="s">
        <v>199</v>
      </c>
      <c r="B38" s="6" t="s">
        <v>200</v>
      </c>
      <c r="C38" s="6" t="s">
        <v>201</v>
      </c>
      <c r="D38" s="10">
        <v>1925317.0</v>
      </c>
      <c r="E38" s="6" t="s">
        <v>18</v>
      </c>
      <c r="H38" s="6" t="s">
        <v>202</v>
      </c>
      <c r="I38" s="6" t="s">
        <v>203</v>
      </c>
      <c r="J38" s="14" t="s">
        <v>204</v>
      </c>
      <c r="L38" s="6" t="s">
        <v>205</v>
      </c>
      <c r="M38" s="7">
        <v>15840.0</v>
      </c>
      <c r="N38" s="7">
        <v>92461.0</v>
      </c>
      <c r="O38" s="7">
        <v>1784.0</v>
      </c>
      <c r="P38" s="9" t="s">
        <v>40</v>
      </c>
    </row>
    <row r="39" ht="14.25" customHeight="1">
      <c r="A39" s="4" t="s">
        <v>206</v>
      </c>
      <c r="B39" s="4" t="s">
        <v>207</v>
      </c>
      <c r="C39" s="4" t="s">
        <v>206</v>
      </c>
      <c r="D39" s="5">
        <v>114023.0</v>
      </c>
      <c r="E39" s="4" t="s">
        <v>27</v>
      </c>
      <c r="F39" s="4" t="s">
        <v>176</v>
      </c>
      <c r="G39" s="4" t="s">
        <v>208</v>
      </c>
      <c r="L39" s="4" t="s">
        <v>34</v>
      </c>
      <c r="M39" s="7">
        <v>74.0</v>
      </c>
      <c r="N39" s="7">
        <v>696.0</v>
      </c>
      <c r="O39" s="7">
        <v>67.0</v>
      </c>
      <c r="P39" s="8"/>
    </row>
    <row r="40" ht="14.25" customHeight="1">
      <c r="A40" s="4" t="s">
        <v>209</v>
      </c>
      <c r="B40" s="4" t="s">
        <v>210</v>
      </c>
      <c r="D40" s="5">
        <v>221999.0</v>
      </c>
      <c r="E40" s="4" t="s">
        <v>27</v>
      </c>
      <c r="F40" s="4" t="s">
        <v>211</v>
      </c>
      <c r="G40" s="4" t="s">
        <v>212</v>
      </c>
      <c r="H40" s="4" t="s">
        <v>213</v>
      </c>
      <c r="I40" s="6" t="s">
        <v>214</v>
      </c>
      <c r="L40" s="4" t="s">
        <v>34</v>
      </c>
      <c r="M40" s="7">
        <v>564.0</v>
      </c>
      <c r="N40" s="7">
        <v>39356.0</v>
      </c>
      <c r="O40" s="7">
        <v>431.0</v>
      </c>
      <c r="P40" s="8"/>
    </row>
    <row r="41" ht="14.25" customHeight="1">
      <c r="A41" s="4" t="s">
        <v>215</v>
      </c>
      <c r="B41" s="4" t="s">
        <v>216</v>
      </c>
      <c r="C41" s="4" t="s">
        <v>215</v>
      </c>
      <c r="D41" s="5">
        <v>1360701.0</v>
      </c>
      <c r="E41" s="4" t="s">
        <v>27</v>
      </c>
      <c r="F41" s="4" t="s">
        <v>217</v>
      </c>
      <c r="G41" s="4" t="s">
        <v>168</v>
      </c>
      <c r="L41" s="4" t="s">
        <v>34</v>
      </c>
      <c r="M41" s="7">
        <v>52.0</v>
      </c>
      <c r="N41" s="7">
        <v>252.0</v>
      </c>
      <c r="O41" s="7">
        <v>48.0</v>
      </c>
      <c r="P41" s="8"/>
    </row>
    <row r="42" ht="14.25" customHeight="1">
      <c r="A42" s="6" t="s">
        <v>218</v>
      </c>
      <c r="B42" s="6" t="s">
        <v>219</v>
      </c>
      <c r="C42" s="6" t="s">
        <v>218</v>
      </c>
      <c r="D42" s="10">
        <v>3788962.0</v>
      </c>
      <c r="E42" s="6" t="s">
        <v>18</v>
      </c>
      <c r="F42" s="6" t="s">
        <v>220</v>
      </c>
      <c r="H42" s="6" t="s">
        <v>221</v>
      </c>
      <c r="I42" s="6" t="s">
        <v>222</v>
      </c>
      <c r="L42" s="6" t="s">
        <v>223</v>
      </c>
      <c r="M42" s="12">
        <v>3916.0</v>
      </c>
      <c r="N42" s="12">
        <v>146991.0</v>
      </c>
      <c r="O42" s="12">
        <v>232.0</v>
      </c>
      <c r="P42" s="13" t="s">
        <v>15</v>
      </c>
    </row>
    <row r="43" ht="14.25" customHeight="1">
      <c r="A43" s="4" t="s">
        <v>224</v>
      </c>
      <c r="B43" s="4" t="s">
        <v>225</v>
      </c>
      <c r="C43" s="4" t="s">
        <v>224</v>
      </c>
      <c r="D43" s="5">
        <v>2904631.0</v>
      </c>
      <c r="E43" s="4" t="s">
        <v>27</v>
      </c>
      <c r="F43" s="4" t="s">
        <v>123</v>
      </c>
      <c r="G43" s="4" t="s">
        <v>168</v>
      </c>
      <c r="L43" s="4" t="s">
        <v>34</v>
      </c>
      <c r="M43" s="7">
        <v>3.0</v>
      </c>
      <c r="N43" s="7">
        <v>1.0</v>
      </c>
      <c r="O43" s="7">
        <v>3.0</v>
      </c>
      <c r="P43" s="8"/>
    </row>
    <row r="44" ht="14.25" customHeight="1">
      <c r="A44" s="4" t="s">
        <v>226</v>
      </c>
      <c r="B44" s="4" t="s">
        <v>227</v>
      </c>
      <c r="C44" s="4" t="s">
        <v>226</v>
      </c>
      <c r="D44" s="5">
        <v>255930.0</v>
      </c>
      <c r="E44" s="4" t="s">
        <v>27</v>
      </c>
      <c r="F44" s="4" t="s">
        <v>228</v>
      </c>
      <c r="G44" s="4" t="s">
        <v>229</v>
      </c>
      <c r="L44" s="4" t="s">
        <v>34</v>
      </c>
      <c r="M44" s="7">
        <v>70.0</v>
      </c>
      <c r="N44" s="7">
        <v>14.0</v>
      </c>
      <c r="O44" s="7">
        <v>55.0</v>
      </c>
      <c r="P44" s="8"/>
    </row>
    <row r="45" ht="14.25" customHeight="1">
      <c r="A45" s="6" t="s">
        <v>230</v>
      </c>
      <c r="B45" s="6" t="s">
        <v>231</v>
      </c>
      <c r="C45" s="6" t="s">
        <v>232</v>
      </c>
      <c r="D45" s="10">
        <v>2314302.0</v>
      </c>
      <c r="E45" s="6" t="s">
        <v>18</v>
      </c>
      <c r="H45" s="6" t="s">
        <v>202</v>
      </c>
      <c r="I45" s="6" t="s">
        <v>203</v>
      </c>
      <c r="J45" s="14" t="s">
        <v>233</v>
      </c>
      <c r="L45" s="6" t="s">
        <v>205</v>
      </c>
      <c r="M45" s="7">
        <v>2434.0</v>
      </c>
      <c r="N45" s="7">
        <v>14309.0</v>
      </c>
      <c r="O45" s="7">
        <v>916.0</v>
      </c>
      <c r="P45" s="8"/>
    </row>
    <row r="46" ht="14.25" customHeight="1">
      <c r="A46" s="4" t="s">
        <v>234</v>
      </c>
      <c r="B46" s="4" t="s">
        <v>235</v>
      </c>
      <c r="C46" s="4" t="s">
        <v>236</v>
      </c>
      <c r="D46" s="5">
        <v>40156.0</v>
      </c>
      <c r="E46" s="4" t="s">
        <v>27</v>
      </c>
      <c r="F46" s="4" t="s">
        <v>237</v>
      </c>
      <c r="G46" s="4" t="s">
        <v>238</v>
      </c>
      <c r="L46" s="4" t="s">
        <v>34</v>
      </c>
      <c r="M46" s="7">
        <v>56.0</v>
      </c>
      <c r="N46" s="7">
        <v>125.0</v>
      </c>
      <c r="O46" s="7">
        <v>36.0</v>
      </c>
      <c r="P46" s="9" t="s">
        <v>40</v>
      </c>
    </row>
    <row r="47" ht="14.25" customHeight="1">
      <c r="A47" s="4" t="s">
        <v>239</v>
      </c>
      <c r="B47" s="4" t="s">
        <v>240</v>
      </c>
      <c r="C47" s="4" t="s">
        <v>239</v>
      </c>
      <c r="D47" s="5">
        <v>319622.0</v>
      </c>
      <c r="E47" s="4" t="s">
        <v>27</v>
      </c>
      <c r="F47" s="4" t="s">
        <v>241</v>
      </c>
      <c r="L47" s="4" t="s">
        <v>242</v>
      </c>
      <c r="M47" s="7">
        <v>4.0</v>
      </c>
      <c r="N47" s="7">
        <v>0.0</v>
      </c>
      <c r="O47" s="7">
        <v>4.0</v>
      </c>
      <c r="P47" s="8"/>
    </row>
    <row r="48" ht="14.25" customHeight="1">
      <c r="A48" s="4" t="s">
        <v>243</v>
      </c>
      <c r="B48" s="4" t="s">
        <v>244</v>
      </c>
      <c r="C48" s="4" t="s">
        <v>243</v>
      </c>
      <c r="D48" s="5">
        <v>1283670.0</v>
      </c>
      <c r="E48" s="4" t="s">
        <v>27</v>
      </c>
      <c r="F48" s="4" t="s">
        <v>245</v>
      </c>
      <c r="G48" s="4" t="s">
        <v>246</v>
      </c>
      <c r="L48" s="4" t="s">
        <v>34</v>
      </c>
      <c r="M48" s="7">
        <v>629.0</v>
      </c>
      <c r="N48" s="7">
        <v>0.0</v>
      </c>
      <c r="O48" s="7">
        <v>336.0</v>
      </c>
      <c r="P48" s="8"/>
    </row>
    <row r="49" ht="14.25" customHeight="1">
      <c r="A49" s="4" t="s">
        <v>247</v>
      </c>
      <c r="B49" s="6" t="s">
        <v>248</v>
      </c>
      <c r="C49" s="6" t="s">
        <v>249</v>
      </c>
      <c r="D49" s="10">
        <v>169497.0</v>
      </c>
      <c r="E49" s="4" t="s">
        <v>27</v>
      </c>
      <c r="F49" s="4" t="s">
        <v>250</v>
      </c>
      <c r="G49" s="4" t="s">
        <v>168</v>
      </c>
      <c r="H49" s="6" t="s">
        <v>70</v>
      </c>
      <c r="I49" s="6" t="s">
        <v>38</v>
      </c>
      <c r="L49" s="4" t="s">
        <v>34</v>
      </c>
      <c r="M49" s="7">
        <v>1051.0</v>
      </c>
      <c r="N49" s="7">
        <v>175.0</v>
      </c>
      <c r="O49" s="7">
        <v>819.0</v>
      </c>
      <c r="P49" s="8"/>
    </row>
    <row r="50" ht="14.25" customHeight="1">
      <c r="A50" s="4" t="s">
        <v>251</v>
      </c>
      <c r="B50" s="4" t="s">
        <v>252</v>
      </c>
      <c r="C50" s="4" t="s">
        <v>253</v>
      </c>
      <c r="D50" s="5">
        <v>1868383.0</v>
      </c>
      <c r="E50" s="4" t="s">
        <v>18</v>
      </c>
      <c r="H50" s="4" t="s">
        <v>70</v>
      </c>
      <c r="I50" s="6" t="s">
        <v>38</v>
      </c>
      <c r="L50" s="4" t="s">
        <v>39</v>
      </c>
      <c r="M50" s="7">
        <v>969.0</v>
      </c>
      <c r="N50" s="7">
        <v>1129.0</v>
      </c>
      <c r="O50" s="7">
        <v>498.0</v>
      </c>
      <c r="P50" s="8"/>
    </row>
    <row r="51" ht="14.25" customHeight="1">
      <c r="A51" s="4" t="s">
        <v>254</v>
      </c>
      <c r="B51" s="4" t="s">
        <v>255</v>
      </c>
      <c r="C51" s="4" t="s">
        <v>254</v>
      </c>
      <c r="D51" s="5">
        <v>748372.0</v>
      </c>
      <c r="E51" s="4" t="s">
        <v>18</v>
      </c>
      <c r="H51" s="4" t="s">
        <v>256</v>
      </c>
      <c r="I51" s="6" t="s">
        <v>126</v>
      </c>
      <c r="L51" s="4" t="s">
        <v>65</v>
      </c>
      <c r="M51" s="7">
        <v>240.0</v>
      </c>
      <c r="N51" s="7">
        <v>2485.0</v>
      </c>
      <c r="O51" s="7">
        <v>160.0</v>
      </c>
      <c r="P51" s="9" t="s">
        <v>40</v>
      </c>
    </row>
    <row r="52" ht="14.25" customHeight="1">
      <c r="B52" s="4" t="s">
        <v>257</v>
      </c>
      <c r="D52" s="5">
        <v>250191.0</v>
      </c>
      <c r="E52" s="4" t="s">
        <v>18</v>
      </c>
      <c r="H52" s="4" t="s">
        <v>258</v>
      </c>
      <c r="I52" s="6" t="s">
        <v>38</v>
      </c>
      <c r="K52" s="4" t="s">
        <v>259</v>
      </c>
      <c r="L52" s="4" t="s">
        <v>53</v>
      </c>
      <c r="M52" s="7">
        <v>965.0</v>
      </c>
      <c r="N52" s="7">
        <v>120886.0</v>
      </c>
      <c r="O52" s="7">
        <v>535.0</v>
      </c>
      <c r="P52" s="9" t="s">
        <v>40</v>
      </c>
    </row>
    <row r="53" ht="14.25" customHeight="1">
      <c r="A53" s="6" t="s">
        <v>260</v>
      </c>
      <c r="B53" s="6" t="s">
        <v>261</v>
      </c>
      <c r="C53" s="6" t="s">
        <v>260</v>
      </c>
      <c r="D53" s="10">
        <v>620642.0</v>
      </c>
      <c r="E53" s="6" t="s">
        <v>18</v>
      </c>
      <c r="F53" s="6" t="s">
        <v>262</v>
      </c>
      <c r="G53" s="6" t="s">
        <v>168</v>
      </c>
      <c r="H53" s="6" t="s">
        <v>263</v>
      </c>
      <c r="I53" s="6" t="s">
        <v>264</v>
      </c>
      <c r="J53" s="6" t="s">
        <v>265</v>
      </c>
      <c r="L53" s="6" t="s">
        <v>71</v>
      </c>
      <c r="M53" s="7">
        <v>12340.0</v>
      </c>
      <c r="N53" s="7">
        <v>88907.0</v>
      </c>
      <c r="O53" s="7">
        <v>2530.0</v>
      </c>
      <c r="P53" s="9" t="s">
        <v>40</v>
      </c>
    </row>
    <row r="54" ht="14.25" customHeight="1">
      <c r="A54" s="6" t="s">
        <v>230</v>
      </c>
      <c r="B54" s="6" t="s">
        <v>266</v>
      </c>
      <c r="C54" s="6" t="s">
        <v>267</v>
      </c>
      <c r="D54" s="10">
        <v>420537.0</v>
      </c>
      <c r="E54" s="6" t="s">
        <v>18</v>
      </c>
      <c r="H54" s="6" t="s">
        <v>202</v>
      </c>
      <c r="I54" s="6" t="s">
        <v>203</v>
      </c>
      <c r="J54" s="14" t="s">
        <v>268</v>
      </c>
      <c r="L54" s="6" t="s">
        <v>71</v>
      </c>
      <c r="M54" s="7">
        <v>152971.0</v>
      </c>
      <c r="N54" s="7">
        <v>41361.0</v>
      </c>
      <c r="O54" s="7">
        <v>12304.0</v>
      </c>
      <c r="P54" s="8"/>
    </row>
    <row r="55" ht="14.25" customHeight="1">
      <c r="A55" s="4" t="s">
        <v>269</v>
      </c>
      <c r="B55" s="4" t="s">
        <v>270</v>
      </c>
      <c r="C55" s="4" t="s">
        <v>269</v>
      </c>
      <c r="D55" s="5">
        <v>1103606.0</v>
      </c>
      <c r="E55" s="4" t="s">
        <v>18</v>
      </c>
      <c r="H55" s="4" t="s">
        <v>271</v>
      </c>
      <c r="I55" s="6" t="s">
        <v>63</v>
      </c>
      <c r="L55" s="4" t="s">
        <v>65</v>
      </c>
      <c r="M55" s="7">
        <v>20.0</v>
      </c>
      <c r="N55" s="7">
        <v>3343.0</v>
      </c>
      <c r="O55" s="7">
        <v>19.0</v>
      </c>
      <c r="P55" s="8"/>
    </row>
    <row r="56" ht="14.25" customHeight="1">
      <c r="A56" s="4" t="s">
        <v>272</v>
      </c>
      <c r="B56" s="4" t="s">
        <v>273</v>
      </c>
      <c r="C56" s="4" t="s">
        <v>272</v>
      </c>
      <c r="D56" s="5">
        <v>977825.0</v>
      </c>
      <c r="E56" s="4" t="s">
        <v>18</v>
      </c>
      <c r="H56" s="4" t="s">
        <v>274</v>
      </c>
      <c r="I56" s="6" t="s">
        <v>275</v>
      </c>
      <c r="L56" s="4" t="s">
        <v>65</v>
      </c>
      <c r="M56" s="7">
        <v>5142.0</v>
      </c>
      <c r="N56" s="7">
        <v>108150.0</v>
      </c>
      <c r="O56" s="7">
        <v>1574.0</v>
      </c>
      <c r="P56" s="9" t="s">
        <v>40</v>
      </c>
    </row>
    <row r="57" ht="14.25" customHeight="1">
      <c r="A57" s="4" t="s">
        <v>276</v>
      </c>
      <c r="B57" s="4" t="s">
        <v>277</v>
      </c>
      <c r="D57" s="5">
        <v>15770.0</v>
      </c>
      <c r="E57" s="4" t="s">
        <v>18</v>
      </c>
      <c r="H57" s="4" t="s">
        <v>278</v>
      </c>
      <c r="I57" s="6" t="s">
        <v>63</v>
      </c>
      <c r="L57" s="4" t="s">
        <v>65</v>
      </c>
      <c r="M57" s="7">
        <v>3888.0</v>
      </c>
      <c r="N57" s="7">
        <v>16090.0</v>
      </c>
      <c r="O57" s="7">
        <v>2136.0</v>
      </c>
      <c r="P57" s="9" t="s">
        <v>40</v>
      </c>
    </row>
    <row r="58" ht="14.25" customHeight="1">
      <c r="A58" s="4" t="s">
        <v>279</v>
      </c>
      <c r="B58" s="4" t="s">
        <v>280</v>
      </c>
      <c r="C58" s="4" t="s">
        <v>281</v>
      </c>
      <c r="D58" s="5">
        <v>1030733.0</v>
      </c>
      <c r="E58" s="4" t="s">
        <v>27</v>
      </c>
      <c r="F58" s="4" t="s">
        <v>237</v>
      </c>
      <c r="G58" s="4" t="s">
        <v>282</v>
      </c>
      <c r="L58" s="4" t="s">
        <v>34</v>
      </c>
      <c r="M58" s="7">
        <v>25.0</v>
      </c>
      <c r="N58" s="7">
        <v>4.0</v>
      </c>
      <c r="O58" s="7">
        <v>18.0</v>
      </c>
      <c r="P58" s="8"/>
    </row>
    <row r="59" ht="14.25" customHeight="1">
      <c r="A59" s="4" t="s">
        <v>283</v>
      </c>
      <c r="B59" s="4" t="s">
        <v>284</v>
      </c>
      <c r="C59" s="4" t="s">
        <v>283</v>
      </c>
      <c r="D59" s="5">
        <v>355160.0</v>
      </c>
      <c r="E59" s="4" t="s">
        <v>18</v>
      </c>
      <c r="H59" s="4" t="s">
        <v>285</v>
      </c>
      <c r="I59" s="6" t="s">
        <v>286</v>
      </c>
      <c r="L59" s="4" t="s">
        <v>65</v>
      </c>
      <c r="M59" s="7">
        <v>6941.0</v>
      </c>
      <c r="N59" s="7">
        <v>168670.0</v>
      </c>
      <c r="O59" s="7">
        <v>2053.0</v>
      </c>
      <c r="P59" s="8"/>
    </row>
    <row r="60" ht="14.25" customHeight="1">
      <c r="A60" s="4" t="s">
        <v>287</v>
      </c>
      <c r="B60" s="4" t="s">
        <v>288</v>
      </c>
      <c r="D60" s="5">
        <v>1173905.0</v>
      </c>
      <c r="E60" s="4" t="s">
        <v>27</v>
      </c>
      <c r="F60" s="4" t="s">
        <v>237</v>
      </c>
      <c r="G60" s="4" t="s">
        <v>289</v>
      </c>
      <c r="L60" s="4" t="s">
        <v>34</v>
      </c>
      <c r="M60" s="7">
        <v>0.0</v>
      </c>
      <c r="N60" s="7">
        <v>0.0</v>
      </c>
      <c r="O60" s="7">
        <v>0.0</v>
      </c>
      <c r="P60" s="8"/>
    </row>
    <row r="61" ht="14.25" customHeight="1">
      <c r="A61" s="4" t="s">
        <v>290</v>
      </c>
      <c r="B61" s="4" t="s">
        <v>291</v>
      </c>
      <c r="C61" s="4" t="s">
        <v>292</v>
      </c>
      <c r="D61" s="5">
        <v>1412462.0</v>
      </c>
      <c r="E61" s="4" t="s">
        <v>18</v>
      </c>
      <c r="H61" s="4" t="s">
        <v>293</v>
      </c>
      <c r="I61" s="6" t="s">
        <v>294</v>
      </c>
      <c r="L61" s="4" t="s">
        <v>65</v>
      </c>
      <c r="M61" s="7">
        <v>335.0</v>
      </c>
      <c r="N61" s="7">
        <v>7385.0</v>
      </c>
      <c r="O61" s="7">
        <v>204.0</v>
      </c>
      <c r="P61" s="8"/>
    </row>
    <row r="62" ht="14.25" customHeight="1">
      <c r="B62" s="6" t="s">
        <v>295</v>
      </c>
      <c r="C62" s="6" t="s">
        <v>295</v>
      </c>
      <c r="D62" s="10">
        <v>3069707.0</v>
      </c>
      <c r="E62" s="6" t="s">
        <v>18</v>
      </c>
      <c r="H62" s="6" t="s">
        <v>296</v>
      </c>
      <c r="I62" s="6" t="s">
        <v>294</v>
      </c>
      <c r="L62" s="6" t="s">
        <v>297</v>
      </c>
      <c r="M62" s="12">
        <v>7860.0</v>
      </c>
      <c r="N62" s="12">
        <v>745653.0</v>
      </c>
      <c r="O62" s="12">
        <v>1256.0</v>
      </c>
      <c r="P62" s="8"/>
    </row>
    <row r="63" ht="14.25" customHeight="1">
      <c r="A63" s="4" t="s">
        <v>298</v>
      </c>
      <c r="B63" s="4" t="s">
        <v>299</v>
      </c>
      <c r="C63" s="4" t="s">
        <v>298</v>
      </c>
      <c r="D63" s="5">
        <v>4265031.0</v>
      </c>
      <c r="E63" s="4" t="s">
        <v>18</v>
      </c>
      <c r="H63" s="4" t="s">
        <v>300</v>
      </c>
      <c r="I63" s="6" t="s">
        <v>301</v>
      </c>
      <c r="L63" s="4" t="s">
        <v>39</v>
      </c>
      <c r="M63" s="7">
        <v>39.0</v>
      </c>
      <c r="N63" s="7">
        <v>18606.0</v>
      </c>
      <c r="O63" s="7">
        <v>30.0</v>
      </c>
      <c r="P63" s="8"/>
    </row>
    <row r="64" ht="14.25" customHeight="1">
      <c r="A64" s="4" t="s">
        <v>302</v>
      </c>
      <c r="B64" s="4" t="s">
        <v>303</v>
      </c>
      <c r="C64" s="4" t="s">
        <v>304</v>
      </c>
      <c r="D64" s="5">
        <v>19411.0</v>
      </c>
      <c r="E64" s="4" t="s">
        <v>27</v>
      </c>
      <c r="F64" s="4" t="s">
        <v>305</v>
      </c>
      <c r="G64" s="4" t="s">
        <v>168</v>
      </c>
      <c r="L64" s="4" t="s">
        <v>34</v>
      </c>
      <c r="M64" s="15">
        <v>2690.0</v>
      </c>
      <c r="N64" s="15">
        <v>7319.0</v>
      </c>
      <c r="O64" s="15">
        <v>1401.0</v>
      </c>
      <c r="P64" s="8"/>
    </row>
    <row r="65" ht="14.25" customHeight="1">
      <c r="A65" s="4" t="s">
        <v>306</v>
      </c>
      <c r="B65" s="6" t="s">
        <v>307</v>
      </c>
      <c r="D65" s="10">
        <v>1449070.0</v>
      </c>
      <c r="E65" s="4" t="s">
        <v>27</v>
      </c>
      <c r="F65" s="4" t="s">
        <v>308</v>
      </c>
      <c r="G65" s="4" t="s">
        <v>309</v>
      </c>
      <c r="H65" s="6" t="s">
        <v>310</v>
      </c>
      <c r="I65" s="6" t="s">
        <v>22</v>
      </c>
      <c r="L65" s="4" t="s">
        <v>34</v>
      </c>
      <c r="M65" s="7">
        <v>0.0</v>
      </c>
      <c r="N65" s="7">
        <v>0.0</v>
      </c>
      <c r="O65" s="7">
        <v>0.0</v>
      </c>
      <c r="P65" s="8"/>
    </row>
    <row r="66" ht="14.25" customHeight="1">
      <c r="A66" s="6" t="s">
        <v>311</v>
      </c>
      <c r="B66" s="6" t="s">
        <v>312</v>
      </c>
      <c r="C66" s="6" t="s">
        <v>311</v>
      </c>
      <c r="D66" s="10">
        <v>760776.0</v>
      </c>
      <c r="E66" s="6" t="s">
        <v>18</v>
      </c>
      <c r="H66" s="6" t="s">
        <v>296</v>
      </c>
      <c r="I66" s="6" t="s">
        <v>294</v>
      </c>
      <c r="L66" s="6" t="s">
        <v>297</v>
      </c>
      <c r="M66" s="6">
        <v>207.0</v>
      </c>
      <c r="N66" s="6">
        <v>875.0</v>
      </c>
      <c r="O66" s="6">
        <v>107.0</v>
      </c>
    </row>
    <row r="67" ht="14.25" customHeight="1">
      <c r="A67" s="4" t="s">
        <v>313</v>
      </c>
      <c r="B67" s="4" t="s">
        <v>314</v>
      </c>
      <c r="C67" s="4" t="s">
        <v>313</v>
      </c>
      <c r="D67" s="5">
        <v>4055524.0</v>
      </c>
      <c r="E67" s="4" t="s">
        <v>18</v>
      </c>
      <c r="H67" s="4" t="s">
        <v>315</v>
      </c>
      <c r="I67" s="6" t="s">
        <v>316</v>
      </c>
      <c r="K67" s="4" t="s">
        <v>317</v>
      </c>
      <c r="L67" s="4" t="s">
        <v>24</v>
      </c>
      <c r="M67" s="7">
        <v>4203.0</v>
      </c>
      <c r="N67" s="7">
        <v>5003.0</v>
      </c>
      <c r="O67" s="7">
        <v>1103.0</v>
      </c>
      <c r="P67" s="8"/>
    </row>
    <row r="68" ht="14.25" customHeight="1">
      <c r="A68" s="6" t="s">
        <v>318</v>
      </c>
      <c r="B68" s="6" t="s">
        <v>319</v>
      </c>
      <c r="C68" s="6" t="s">
        <v>318</v>
      </c>
      <c r="D68" s="10">
        <v>393850.0</v>
      </c>
      <c r="E68" s="6" t="s">
        <v>27</v>
      </c>
      <c r="F68" s="6" t="s">
        <v>320</v>
      </c>
      <c r="G68" s="6" t="s">
        <v>168</v>
      </c>
      <c r="H68" s="6" t="s">
        <v>70</v>
      </c>
      <c r="I68" s="6" t="s">
        <v>38</v>
      </c>
      <c r="L68" s="6" t="s">
        <v>71</v>
      </c>
      <c r="M68" s="7">
        <v>1148.0</v>
      </c>
      <c r="N68" s="7">
        <v>1130.0</v>
      </c>
      <c r="O68" s="7">
        <v>742.0</v>
      </c>
      <c r="P68" s="8"/>
    </row>
    <row r="69" ht="14.25" customHeight="1">
      <c r="A69" s="4" t="s">
        <v>321</v>
      </c>
      <c r="B69" s="4" t="s">
        <v>322</v>
      </c>
      <c r="D69" s="5">
        <v>2170273.0</v>
      </c>
      <c r="E69" s="4" t="s">
        <v>18</v>
      </c>
      <c r="H69" s="4" t="s">
        <v>70</v>
      </c>
      <c r="I69" s="6" t="s">
        <v>38</v>
      </c>
      <c r="K69" s="4" t="s">
        <v>23</v>
      </c>
      <c r="L69" s="4" t="s">
        <v>24</v>
      </c>
      <c r="M69" s="7">
        <v>931.0</v>
      </c>
      <c r="N69" s="7">
        <v>208.0</v>
      </c>
      <c r="O69" s="7">
        <v>588.0</v>
      </c>
      <c r="P69" s="8"/>
    </row>
    <row r="70" ht="14.25" customHeight="1">
      <c r="A70" s="4" t="s">
        <v>323</v>
      </c>
      <c r="B70" s="6" t="s">
        <v>324</v>
      </c>
      <c r="D70" s="10">
        <v>6047045.0</v>
      </c>
      <c r="E70" s="4" t="s">
        <v>27</v>
      </c>
      <c r="F70" s="4" t="s">
        <v>308</v>
      </c>
      <c r="G70" s="4" t="s">
        <v>325</v>
      </c>
      <c r="H70" s="6" t="s">
        <v>213</v>
      </c>
      <c r="I70" s="6" t="s">
        <v>214</v>
      </c>
      <c r="L70" s="4" t="s">
        <v>34</v>
      </c>
      <c r="M70" s="7">
        <v>19.0</v>
      </c>
      <c r="N70" s="7">
        <v>0.0</v>
      </c>
      <c r="O70" s="7">
        <v>16.0</v>
      </c>
      <c r="P70" s="8"/>
    </row>
    <row r="71" ht="14.25" customHeight="1">
      <c r="A71" s="4" t="s">
        <v>326</v>
      </c>
      <c r="B71" s="4" t="s">
        <v>327</v>
      </c>
      <c r="C71" s="4" t="s">
        <v>326</v>
      </c>
      <c r="D71" s="5">
        <v>1521683.0</v>
      </c>
      <c r="E71" s="4" t="s">
        <v>18</v>
      </c>
      <c r="H71" s="4" t="s">
        <v>141</v>
      </c>
      <c r="I71" s="6" t="s">
        <v>142</v>
      </c>
      <c r="L71" s="4" t="s">
        <v>39</v>
      </c>
      <c r="M71" s="7">
        <v>212.0</v>
      </c>
      <c r="N71" s="7">
        <v>7359.0</v>
      </c>
      <c r="O71" s="7">
        <v>184.0</v>
      </c>
      <c r="P71" s="8"/>
    </row>
    <row r="72" ht="14.25" customHeight="1">
      <c r="A72" s="4" t="s">
        <v>328</v>
      </c>
      <c r="B72" s="4" t="s">
        <v>329</v>
      </c>
      <c r="C72" s="4" t="s">
        <v>328</v>
      </c>
      <c r="D72" s="5">
        <v>285865.0</v>
      </c>
      <c r="E72" s="4" t="s">
        <v>27</v>
      </c>
      <c r="F72" s="4" t="s">
        <v>330</v>
      </c>
      <c r="G72" s="4" t="s">
        <v>331</v>
      </c>
      <c r="L72" s="4" t="s">
        <v>34</v>
      </c>
      <c r="M72" s="7">
        <v>1.0</v>
      </c>
      <c r="N72" s="7">
        <v>0.0</v>
      </c>
      <c r="O72" s="7">
        <v>1.0</v>
      </c>
      <c r="P72" s="8"/>
    </row>
    <row r="73" ht="14.25" customHeight="1">
      <c r="A73" s="4" t="s">
        <v>332</v>
      </c>
      <c r="B73" s="4" t="s">
        <v>333</v>
      </c>
      <c r="C73" s="4" t="s">
        <v>332</v>
      </c>
      <c r="D73" s="5">
        <v>541847.0</v>
      </c>
      <c r="E73" s="4" t="s">
        <v>18</v>
      </c>
      <c r="H73" s="4" t="s">
        <v>182</v>
      </c>
      <c r="I73" s="6" t="s">
        <v>126</v>
      </c>
      <c r="L73" s="4" t="s">
        <v>65</v>
      </c>
      <c r="M73" s="7">
        <v>143966.0</v>
      </c>
      <c r="N73" s="7">
        <v>314050.0</v>
      </c>
      <c r="O73" s="7">
        <v>7182.0</v>
      </c>
      <c r="P73" s="9" t="s">
        <v>40</v>
      </c>
    </row>
    <row r="74" ht="14.25" customHeight="1">
      <c r="A74" s="4" t="s">
        <v>334</v>
      </c>
      <c r="B74" s="4" t="s">
        <v>335</v>
      </c>
      <c r="C74" s="4" t="s">
        <v>336</v>
      </c>
      <c r="D74" s="5">
        <v>12510.0</v>
      </c>
      <c r="E74" s="4" t="s">
        <v>18</v>
      </c>
      <c r="H74" s="4" t="s">
        <v>337</v>
      </c>
      <c r="I74" s="6" t="s">
        <v>63</v>
      </c>
      <c r="L74" s="4" t="s">
        <v>65</v>
      </c>
      <c r="M74" s="7">
        <v>66.0</v>
      </c>
      <c r="N74" s="7">
        <v>7919.0</v>
      </c>
      <c r="O74" s="7">
        <v>32.0</v>
      </c>
      <c r="P74" s="9" t="s">
        <v>40</v>
      </c>
    </row>
    <row r="75" ht="14.25" customHeight="1">
      <c r="A75" s="4" t="s">
        <v>338</v>
      </c>
      <c r="B75" s="4" t="s">
        <v>339</v>
      </c>
      <c r="C75" s="4" t="s">
        <v>338</v>
      </c>
      <c r="D75" s="5">
        <v>1165706.0</v>
      </c>
      <c r="E75" s="4" t="s">
        <v>27</v>
      </c>
      <c r="F75" s="4" t="s">
        <v>228</v>
      </c>
      <c r="G75" s="4" t="s">
        <v>340</v>
      </c>
      <c r="L75" s="4" t="s">
        <v>34</v>
      </c>
      <c r="M75" s="7">
        <v>253.0</v>
      </c>
      <c r="N75" s="7">
        <v>105.0</v>
      </c>
      <c r="O75" s="7">
        <v>173.0</v>
      </c>
      <c r="P75" s="8"/>
    </row>
    <row r="76" ht="14.25" customHeight="1">
      <c r="A76" s="4" t="s">
        <v>341</v>
      </c>
      <c r="B76" s="4" t="s">
        <v>342</v>
      </c>
      <c r="D76" s="5">
        <v>390529.0</v>
      </c>
      <c r="E76" s="4" t="s">
        <v>27</v>
      </c>
      <c r="F76" s="4" t="s">
        <v>123</v>
      </c>
      <c r="G76" s="4" t="s">
        <v>343</v>
      </c>
      <c r="L76" s="4" t="s">
        <v>34</v>
      </c>
      <c r="M76" s="7">
        <v>1697.0</v>
      </c>
      <c r="N76" s="7">
        <v>230.0</v>
      </c>
      <c r="O76" s="7">
        <v>1009.0</v>
      </c>
      <c r="P76" s="8"/>
    </row>
    <row r="77" ht="14.25" customHeight="1">
      <c r="A77" s="4" t="s">
        <v>344</v>
      </c>
      <c r="B77" s="4" t="s">
        <v>345</v>
      </c>
      <c r="D77" s="5">
        <v>452693.0</v>
      </c>
      <c r="E77" s="4" t="s">
        <v>18</v>
      </c>
      <c r="H77" s="4" t="s">
        <v>146</v>
      </c>
      <c r="I77" s="6" t="s">
        <v>147</v>
      </c>
      <c r="K77" s="4" t="s">
        <v>317</v>
      </c>
      <c r="L77" s="4" t="s">
        <v>24</v>
      </c>
      <c r="M77" s="7">
        <v>2213.0</v>
      </c>
      <c r="N77" s="7">
        <v>19771.0</v>
      </c>
      <c r="O77" s="7">
        <v>841.0</v>
      </c>
      <c r="P77" s="8"/>
    </row>
    <row r="78" ht="14.25" customHeight="1">
      <c r="A78" s="6" t="s">
        <v>346</v>
      </c>
      <c r="B78" s="6" t="s">
        <v>347</v>
      </c>
      <c r="D78" s="10">
        <v>7272508.0</v>
      </c>
      <c r="E78" s="6" t="s">
        <v>27</v>
      </c>
      <c r="F78" s="6" t="s">
        <v>308</v>
      </c>
      <c r="G78" s="6" t="s">
        <v>348</v>
      </c>
      <c r="H78" s="6" t="s">
        <v>349</v>
      </c>
      <c r="I78" s="6" t="s">
        <v>63</v>
      </c>
      <c r="L78" s="6" t="s">
        <v>71</v>
      </c>
      <c r="M78" s="7">
        <v>0.0</v>
      </c>
      <c r="N78" s="7">
        <v>0.0</v>
      </c>
      <c r="O78" s="7">
        <v>0.0</v>
      </c>
      <c r="P78" s="8"/>
    </row>
    <row r="79" ht="14.25" customHeight="1">
      <c r="A79" s="4" t="s">
        <v>350</v>
      </c>
      <c r="B79" s="4" t="s">
        <v>351</v>
      </c>
      <c r="C79" s="4" t="s">
        <v>350</v>
      </c>
      <c r="D79" s="5">
        <v>1229743.0</v>
      </c>
      <c r="E79" s="4" t="s">
        <v>18</v>
      </c>
      <c r="H79" s="4" t="s">
        <v>352</v>
      </c>
      <c r="I79" s="6" t="s">
        <v>353</v>
      </c>
      <c r="K79" s="4" t="s">
        <v>23</v>
      </c>
      <c r="L79" s="4" t="s">
        <v>53</v>
      </c>
      <c r="M79" s="7">
        <v>0.0</v>
      </c>
      <c r="N79" s="7">
        <v>48184.0</v>
      </c>
      <c r="O79" s="7">
        <v>0.0</v>
      </c>
      <c r="P79" s="9" t="s">
        <v>40</v>
      </c>
    </row>
    <row r="80" ht="14.25" customHeight="1">
      <c r="A80" s="4" t="s">
        <v>354</v>
      </c>
      <c r="B80" s="4" t="s">
        <v>355</v>
      </c>
      <c r="C80" s="4" t="s">
        <v>354</v>
      </c>
      <c r="D80" s="5">
        <v>237929.0</v>
      </c>
      <c r="E80" s="4" t="s">
        <v>27</v>
      </c>
      <c r="F80" s="4" t="s">
        <v>356</v>
      </c>
      <c r="G80" s="4" t="s">
        <v>357</v>
      </c>
      <c r="H80" s="6" t="s">
        <v>358</v>
      </c>
      <c r="I80" s="6" t="s">
        <v>359</v>
      </c>
      <c r="L80" s="4" t="s">
        <v>34</v>
      </c>
      <c r="M80" s="15">
        <v>362.0</v>
      </c>
      <c r="N80" s="15">
        <v>4264.0</v>
      </c>
      <c r="O80" s="15">
        <v>167.0</v>
      </c>
      <c r="P80" s="8"/>
    </row>
    <row r="81" ht="14.25" customHeight="1">
      <c r="A81" s="4" t="s">
        <v>360</v>
      </c>
      <c r="B81" s="4" t="s">
        <v>361</v>
      </c>
      <c r="C81" s="4" t="s">
        <v>360</v>
      </c>
      <c r="D81" s="5">
        <v>1105519.0</v>
      </c>
      <c r="E81" s="4" t="s">
        <v>18</v>
      </c>
      <c r="H81" s="4" t="s">
        <v>146</v>
      </c>
      <c r="I81" s="6" t="s">
        <v>147</v>
      </c>
      <c r="J81" s="4" t="s">
        <v>362</v>
      </c>
      <c r="L81" s="4" t="s">
        <v>65</v>
      </c>
      <c r="M81" s="7">
        <v>7.0</v>
      </c>
      <c r="N81" s="7">
        <v>65933.0</v>
      </c>
      <c r="O81" s="7">
        <v>7.0</v>
      </c>
      <c r="P81" s="8"/>
    </row>
    <row r="82" ht="14.25" customHeight="1">
      <c r="A82" s="4" t="s">
        <v>363</v>
      </c>
      <c r="B82" s="4" t="s">
        <v>364</v>
      </c>
      <c r="C82" s="4" t="s">
        <v>363</v>
      </c>
      <c r="D82" s="5">
        <v>241853.0</v>
      </c>
      <c r="E82" s="4" t="s">
        <v>18</v>
      </c>
      <c r="H82" s="4" t="s">
        <v>365</v>
      </c>
      <c r="I82" s="6" t="s">
        <v>366</v>
      </c>
      <c r="K82" s="4" t="s">
        <v>367</v>
      </c>
      <c r="L82" s="4" t="s">
        <v>24</v>
      </c>
      <c r="M82" s="7">
        <v>18209.0</v>
      </c>
      <c r="N82" s="7">
        <v>37016.0</v>
      </c>
      <c r="O82" s="7">
        <v>3005.0</v>
      </c>
      <c r="P82" s="8"/>
    </row>
    <row r="83" ht="14.25" customHeight="1">
      <c r="A83" s="4" t="s">
        <v>368</v>
      </c>
      <c r="B83" s="4" t="s">
        <v>369</v>
      </c>
      <c r="D83" s="5">
        <v>6494296.0</v>
      </c>
      <c r="E83" s="4" t="s">
        <v>27</v>
      </c>
      <c r="F83" s="4" t="s">
        <v>356</v>
      </c>
      <c r="G83" s="4" t="s">
        <v>370</v>
      </c>
      <c r="H83" s="4" t="s">
        <v>315</v>
      </c>
      <c r="I83" s="6" t="s">
        <v>316</v>
      </c>
      <c r="L83" s="4" t="s">
        <v>371</v>
      </c>
      <c r="M83" s="7">
        <v>104.0</v>
      </c>
      <c r="N83" s="7">
        <v>11893.0</v>
      </c>
      <c r="O83" s="7">
        <v>86.0</v>
      </c>
      <c r="P83" s="8"/>
    </row>
    <row r="84" ht="14.25" customHeight="1">
      <c r="A84" s="4" t="s">
        <v>372</v>
      </c>
      <c r="B84" s="4" t="s">
        <v>373</v>
      </c>
      <c r="C84" s="4" t="s">
        <v>374</v>
      </c>
      <c r="D84" s="5">
        <v>5937713.0</v>
      </c>
      <c r="E84" s="4" t="s">
        <v>27</v>
      </c>
      <c r="F84" s="4" t="s">
        <v>56</v>
      </c>
      <c r="G84" s="4" t="s">
        <v>375</v>
      </c>
      <c r="L84" s="4" t="s">
        <v>34</v>
      </c>
      <c r="M84" s="7">
        <v>2.0</v>
      </c>
      <c r="N84" s="7">
        <v>0.0</v>
      </c>
      <c r="O84" s="7">
        <v>0.0</v>
      </c>
      <c r="P84" s="8"/>
    </row>
    <row r="85" ht="14.25" customHeight="1">
      <c r="A85" s="4" t="s">
        <v>376</v>
      </c>
      <c r="B85" s="4" t="s">
        <v>377</v>
      </c>
      <c r="D85" s="5">
        <v>180811.0</v>
      </c>
      <c r="E85" s="4" t="s">
        <v>18</v>
      </c>
      <c r="H85" s="4" t="s">
        <v>352</v>
      </c>
      <c r="I85" s="6" t="s">
        <v>353</v>
      </c>
      <c r="K85" s="4" t="s">
        <v>23</v>
      </c>
      <c r="L85" s="4" t="s">
        <v>378</v>
      </c>
      <c r="M85" s="7">
        <v>0.0</v>
      </c>
      <c r="N85" s="7">
        <v>730043.0</v>
      </c>
      <c r="O85" s="7">
        <v>0.0</v>
      </c>
      <c r="P85" s="9" t="s">
        <v>40</v>
      </c>
    </row>
    <row r="86" ht="14.25" customHeight="1">
      <c r="A86" s="4" t="s">
        <v>379</v>
      </c>
      <c r="B86" s="4" t="s">
        <v>380</v>
      </c>
      <c r="C86" s="4" t="s">
        <v>379</v>
      </c>
      <c r="D86" s="5">
        <v>2988.0</v>
      </c>
      <c r="E86" s="4" t="s">
        <v>27</v>
      </c>
      <c r="F86" s="4" t="s">
        <v>381</v>
      </c>
      <c r="G86" s="4" t="s">
        <v>382</v>
      </c>
      <c r="L86" s="4" t="s">
        <v>34</v>
      </c>
      <c r="M86" s="7">
        <v>398.0</v>
      </c>
      <c r="N86" s="7">
        <v>234.0</v>
      </c>
      <c r="O86" s="7">
        <v>306.0</v>
      </c>
      <c r="P86" s="8"/>
    </row>
    <row r="87" ht="14.25" customHeight="1">
      <c r="A87" s="4" t="s">
        <v>383</v>
      </c>
      <c r="B87" s="4" t="s">
        <v>384</v>
      </c>
      <c r="D87" s="5">
        <v>5892.0</v>
      </c>
      <c r="E87" s="4" t="s">
        <v>27</v>
      </c>
      <c r="F87" s="4" t="s">
        <v>241</v>
      </c>
      <c r="G87" s="4" t="s">
        <v>385</v>
      </c>
      <c r="H87" s="4" t="s">
        <v>213</v>
      </c>
      <c r="I87" s="6" t="s">
        <v>214</v>
      </c>
      <c r="L87" s="4" t="s">
        <v>371</v>
      </c>
      <c r="M87" s="7">
        <v>13225.0</v>
      </c>
      <c r="N87" s="7">
        <v>5436.0</v>
      </c>
      <c r="O87" s="7">
        <v>3934.0</v>
      </c>
      <c r="P87" s="8"/>
    </row>
    <row r="88" ht="14.25" customHeight="1">
      <c r="A88" s="4" t="s">
        <v>386</v>
      </c>
      <c r="B88" s="4" t="s">
        <v>387</v>
      </c>
      <c r="C88" s="4" t="s">
        <v>386</v>
      </c>
      <c r="D88" s="5">
        <v>3102597.0</v>
      </c>
      <c r="E88" s="4" t="s">
        <v>27</v>
      </c>
      <c r="F88" s="4" t="s">
        <v>130</v>
      </c>
      <c r="G88" s="4" t="s">
        <v>388</v>
      </c>
      <c r="L88" s="4" t="s">
        <v>34</v>
      </c>
      <c r="M88" s="7">
        <v>219.0</v>
      </c>
      <c r="N88" s="7">
        <v>23.0</v>
      </c>
      <c r="O88" s="7">
        <v>187.0</v>
      </c>
      <c r="P88" s="8"/>
    </row>
    <row r="89" ht="14.25" customHeight="1">
      <c r="A89" s="4" t="s">
        <v>389</v>
      </c>
      <c r="B89" s="4" t="s">
        <v>390</v>
      </c>
      <c r="C89" s="4" t="s">
        <v>391</v>
      </c>
      <c r="D89" s="5">
        <v>3344980.0</v>
      </c>
      <c r="E89" s="4" t="s">
        <v>27</v>
      </c>
      <c r="F89" s="4" t="s">
        <v>392</v>
      </c>
      <c r="G89" s="4" t="s">
        <v>393</v>
      </c>
      <c r="L89" s="4" t="s">
        <v>34</v>
      </c>
      <c r="M89" s="7">
        <v>5.0</v>
      </c>
      <c r="N89" s="7">
        <v>0.0</v>
      </c>
      <c r="O89" s="7">
        <v>5.0</v>
      </c>
      <c r="P89" s="8"/>
    </row>
    <row r="90" ht="14.25" customHeight="1">
      <c r="A90" s="4" t="s">
        <v>394</v>
      </c>
      <c r="B90" s="4" t="s">
        <v>395</v>
      </c>
      <c r="C90" s="4" t="s">
        <v>394</v>
      </c>
      <c r="D90" s="5">
        <v>641347.0</v>
      </c>
      <c r="E90" s="4" t="s">
        <v>18</v>
      </c>
      <c r="H90" s="4" t="s">
        <v>396</v>
      </c>
      <c r="I90" s="6" t="s">
        <v>397</v>
      </c>
      <c r="K90" s="4" t="s">
        <v>398</v>
      </c>
      <c r="L90" s="4" t="s">
        <v>24</v>
      </c>
      <c r="M90" s="7">
        <v>3533.0</v>
      </c>
      <c r="N90" s="7">
        <v>15124.0</v>
      </c>
      <c r="O90" s="7">
        <v>1660.0</v>
      </c>
      <c r="P90" s="8"/>
    </row>
    <row r="91" ht="14.25" customHeight="1">
      <c r="A91" s="4" t="s">
        <v>399</v>
      </c>
      <c r="B91" s="4" t="s">
        <v>400</v>
      </c>
      <c r="C91" s="4" t="s">
        <v>399</v>
      </c>
      <c r="D91" s="5">
        <v>1344208.0</v>
      </c>
      <c r="E91" s="4" t="s">
        <v>18</v>
      </c>
      <c r="H91" s="4" t="s">
        <v>401</v>
      </c>
      <c r="I91" s="6" t="s">
        <v>402</v>
      </c>
      <c r="L91" s="4" t="s">
        <v>39</v>
      </c>
      <c r="M91" s="7">
        <v>211.0</v>
      </c>
      <c r="N91" s="7">
        <v>2631.0</v>
      </c>
      <c r="O91" s="7">
        <v>153.0</v>
      </c>
      <c r="P91" s="8"/>
    </row>
    <row r="92" ht="14.25" customHeight="1">
      <c r="A92" s="4" t="s">
        <v>403</v>
      </c>
      <c r="B92" s="4" t="s">
        <v>404</v>
      </c>
      <c r="D92" s="5">
        <v>395601.0</v>
      </c>
      <c r="E92" s="4" t="s">
        <v>18</v>
      </c>
      <c r="F92" s="4" t="s">
        <v>405</v>
      </c>
      <c r="G92" s="4" t="s">
        <v>406</v>
      </c>
      <c r="H92" s="4" t="s">
        <v>407</v>
      </c>
      <c r="I92" s="6" t="s">
        <v>408</v>
      </c>
      <c r="K92" s="4" t="s">
        <v>409</v>
      </c>
      <c r="L92" s="4" t="s">
        <v>24</v>
      </c>
      <c r="M92" s="7">
        <v>1253.0</v>
      </c>
      <c r="N92" s="7">
        <v>25076.0</v>
      </c>
      <c r="O92" s="7">
        <v>734.0</v>
      </c>
      <c r="P92" s="8"/>
    </row>
    <row r="93" ht="14.25" customHeight="1">
      <c r="A93" s="4" t="s">
        <v>410</v>
      </c>
      <c r="B93" s="4" t="s">
        <v>411</v>
      </c>
      <c r="C93" s="4" t="s">
        <v>410</v>
      </c>
      <c r="D93" s="5">
        <v>264861.0</v>
      </c>
      <c r="E93" s="4" t="s">
        <v>18</v>
      </c>
      <c r="F93" s="4" t="s">
        <v>412</v>
      </c>
      <c r="G93" s="4" t="s">
        <v>413</v>
      </c>
      <c r="H93" s="4" t="s">
        <v>414</v>
      </c>
      <c r="I93" s="6" t="s">
        <v>415</v>
      </c>
      <c r="K93" s="4" t="s">
        <v>416</v>
      </c>
      <c r="L93" s="4" t="s">
        <v>378</v>
      </c>
      <c r="M93" s="7">
        <v>32669.0</v>
      </c>
      <c r="N93" s="7">
        <v>304871.0</v>
      </c>
      <c r="O93" s="7">
        <v>7506.0</v>
      </c>
      <c r="P93" s="9" t="s">
        <v>40</v>
      </c>
    </row>
    <row r="94" ht="14.25" customHeight="1">
      <c r="A94" s="4" t="s">
        <v>417</v>
      </c>
      <c r="B94" s="4" t="s">
        <v>418</v>
      </c>
      <c r="C94" s="4" t="s">
        <v>419</v>
      </c>
      <c r="D94" s="5">
        <v>144560.0</v>
      </c>
      <c r="E94" s="4" t="s">
        <v>27</v>
      </c>
      <c r="F94" s="4" t="s">
        <v>420</v>
      </c>
      <c r="L94" s="4" t="s">
        <v>29</v>
      </c>
      <c r="M94" s="7">
        <v>7.0</v>
      </c>
      <c r="N94" s="7">
        <v>10.0</v>
      </c>
      <c r="O94" s="7">
        <v>7.0</v>
      </c>
      <c r="P94" s="8"/>
    </row>
    <row r="95" ht="14.25" customHeight="1">
      <c r="A95" s="4" t="s">
        <v>421</v>
      </c>
      <c r="B95" s="4" t="s">
        <v>422</v>
      </c>
      <c r="C95" s="4" t="s">
        <v>421</v>
      </c>
      <c r="D95" s="5">
        <v>1454925.0</v>
      </c>
      <c r="E95" s="4" t="s">
        <v>43</v>
      </c>
      <c r="F95" s="4" t="s">
        <v>423</v>
      </c>
      <c r="G95" s="4" t="s">
        <v>168</v>
      </c>
      <c r="H95" s="6" t="s">
        <v>70</v>
      </c>
      <c r="I95" s="6" t="s">
        <v>38</v>
      </c>
      <c r="J95" s="16" t="s">
        <v>424</v>
      </c>
      <c r="K95" s="6" t="s">
        <v>425</v>
      </c>
      <c r="L95" s="4" t="s">
        <v>34</v>
      </c>
      <c r="M95" s="7">
        <v>250.0</v>
      </c>
      <c r="N95" s="7">
        <v>140114.0</v>
      </c>
      <c r="O95" s="7">
        <v>216.0</v>
      </c>
      <c r="P95" s="8"/>
    </row>
    <row r="96" ht="14.25" customHeight="1">
      <c r="A96" s="4" t="s">
        <v>426</v>
      </c>
      <c r="B96" s="4" t="s">
        <v>427</v>
      </c>
      <c r="C96" s="4" t="s">
        <v>426</v>
      </c>
      <c r="D96" s="5">
        <v>3059536.0</v>
      </c>
      <c r="E96" s="4" t="s">
        <v>27</v>
      </c>
      <c r="F96" s="4" t="s">
        <v>428</v>
      </c>
      <c r="G96" s="4" t="s">
        <v>429</v>
      </c>
      <c r="L96" s="4" t="s">
        <v>34</v>
      </c>
      <c r="M96" s="7">
        <v>15.0</v>
      </c>
      <c r="N96" s="7">
        <v>0.0</v>
      </c>
      <c r="O96" s="7">
        <v>14.0</v>
      </c>
      <c r="P96" s="8"/>
    </row>
    <row r="97" ht="14.25" customHeight="1">
      <c r="A97" s="6" t="s">
        <v>430</v>
      </c>
      <c r="B97" s="6" t="s">
        <v>431</v>
      </c>
      <c r="C97" s="6" t="s">
        <v>430</v>
      </c>
      <c r="D97" s="10">
        <v>4015883.0</v>
      </c>
      <c r="E97" s="6" t="s">
        <v>18</v>
      </c>
      <c r="F97" s="6" t="s">
        <v>48</v>
      </c>
      <c r="G97" s="6" t="s">
        <v>413</v>
      </c>
      <c r="H97" s="6" t="s">
        <v>146</v>
      </c>
      <c r="I97" s="6" t="s">
        <v>147</v>
      </c>
      <c r="L97" s="6" t="s">
        <v>432</v>
      </c>
      <c r="M97" s="15"/>
      <c r="N97" s="15"/>
      <c r="O97" s="15"/>
      <c r="P97" s="8"/>
    </row>
    <row r="98" ht="14.25" customHeight="1">
      <c r="A98" s="4" t="s">
        <v>433</v>
      </c>
      <c r="B98" s="4" t="s">
        <v>434</v>
      </c>
      <c r="C98" s="4" t="s">
        <v>433</v>
      </c>
      <c r="D98" s="5">
        <v>2649021.0</v>
      </c>
      <c r="E98" s="4" t="s">
        <v>18</v>
      </c>
      <c r="H98" s="4" t="s">
        <v>435</v>
      </c>
      <c r="I98" s="6" t="s">
        <v>436</v>
      </c>
      <c r="K98" s="4" t="s">
        <v>23</v>
      </c>
      <c r="L98" s="4" t="s">
        <v>24</v>
      </c>
      <c r="M98" s="15">
        <v>1505.0</v>
      </c>
      <c r="N98" s="15">
        <v>4020.0</v>
      </c>
      <c r="O98" s="15">
        <v>716.0</v>
      </c>
      <c r="P98" s="8"/>
    </row>
    <row r="99" ht="14.25" customHeight="1">
      <c r="A99" s="4" t="s">
        <v>437</v>
      </c>
      <c r="B99" s="4" t="s">
        <v>438</v>
      </c>
      <c r="C99" s="4" t="s">
        <v>437</v>
      </c>
      <c r="D99" s="5">
        <v>2626695.0</v>
      </c>
      <c r="E99" s="4" t="s">
        <v>18</v>
      </c>
      <c r="H99" s="6" t="s">
        <v>70</v>
      </c>
      <c r="I99" s="6" t="s">
        <v>38</v>
      </c>
      <c r="K99" s="4" t="s">
        <v>23</v>
      </c>
      <c r="L99" s="4" t="s">
        <v>24</v>
      </c>
      <c r="M99" s="7">
        <v>4735.0</v>
      </c>
      <c r="N99" s="7">
        <v>555667.0</v>
      </c>
      <c r="O99" s="7">
        <v>3101.0</v>
      </c>
      <c r="P99" s="8"/>
    </row>
    <row r="100" ht="14.25" customHeight="1">
      <c r="A100" s="4" t="s">
        <v>439</v>
      </c>
      <c r="B100" s="4" t="s">
        <v>440</v>
      </c>
      <c r="C100" s="4" t="s">
        <v>439</v>
      </c>
      <c r="D100" s="5">
        <v>1413.0</v>
      </c>
      <c r="E100" s="4" t="s">
        <v>27</v>
      </c>
      <c r="F100" s="4" t="s">
        <v>241</v>
      </c>
      <c r="G100" s="4" t="s">
        <v>393</v>
      </c>
      <c r="L100" s="4" t="s">
        <v>242</v>
      </c>
      <c r="M100" s="7">
        <v>359.0</v>
      </c>
      <c r="N100" s="7">
        <v>277.0</v>
      </c>
      <c r="O100" s="7">
        <v>242.0</v>
      </c>
      <c r="P100" s="8"/>
    </row>
    <row r="101" ht="14.25" customHeight="1">
      <c r="A101" s="4" t="s">
        <v>441</v>
      </c>
      <c r="B101" s="4" t="s">
        <v>442</v>
      </c>
      <c r="C101" s="4" t="s">
        <v>441</v>
      </c>
      <c r="D101" s="5">
        <v>111081.0</v>
      </c>
      <c r="E101" s="4" t="s">
        <v>43</v>
      </c>
      <c r="F101" s="4" t="s">
        <v>443</v>
      </c>
      <c r="G101" s="4" t="s">
        <v>168</v>
      </c>
      <c r="H101" s="4" t="s">
        <v>70</v>
      </c>
      <c r="I101" s="6" t="s">
        <v>38</v>
      </c>
      <c r="K101" s="6" t="s">
        <v>444</v>
      </c>
      <c r="L101" s="4" t="s">
        <v>24</v>
      </c>
      <c r="M101" s="15">
        <v>9211.0</v>
      </c>
      <c r="N101" s="15">
        <v>126711.0</v>
      </c>
      <c r="O101" s="15">
        <v>2358.0</v>
      </c>
      <c r="P101" s="9" t="s">
        <v>40</v>
      </c>
    </row>
    <row r="102" ht="14.25" customHeight="1">
      <c r="A102" s="6" t="s">
        <v>445</v>
      </c>
      <c r="B102" s="6" t="s">
        <v>446</v>
      </c>
      <c r="C102" s="6" t="s">
        <v>445</v>
      </c>
      <c r="D102" s="10">
        <v>722991.0</v>
      </c>
      <c r="E102" s="6" t="s">
        <v>18</v>
      </c>
      <c r="G102" s="6" t="s">
        <v>447</v>
      </c>
      <c r="H102" s="6" t="s">
        <v>448</v>
      </c>
      <c r="I102" s="6" t="s">
        <v>449</v>
      </c>
      <c r="J102" s="6" t="s">
        <v>450</v>
      </c>
      <c r="L102" s="6" t="s">
        <v>71</v>
      </c>
      <c r="M102" s="7">
        <v>9525.0</v>
      </c>
      <c r="N102" s="7">
        <v>15945.0</v>
      </c>
      <c r="O102" s="7">
        <v>2401.0</v>
      </c>
      <c r="P102" s="8"/>
    </row>
    <row r="103" ht="14.25" customHeight="1">
      <c r="A103" s="4" t="s">
        <v>451</v>
      </c>
      <c r="B103" s="4" t="s">
        <v>452</v>
      </c>
      <c r="C103" s="4" t="s">
        <v>453</v>
      </c>
      <c r="D103" s="5">
        <v>6963839.0</v>
      </c>
      <c r="E103" s="4" t="s">
        <v>27</v>
      </c>
      <c r="F103" s="4" t="s">
        <v>454</v>
      </c>
      <c r="G103" s="4" t="s">
        <v>455</v>
      </c>
      <c r="L103" s="4" t="s">
        <v>34</v>
      </c>
      <c r="M103" s="7">
        <v>67.0</v>
      </c>
      <c r="N103" s="7">
        <v>22.0</v>
      </c>
      <c r="O103" s="7">
        <v>47.0</v>
      </c>
      <c r="P103" s="8"/>
    </row>
    <row r="104" ht="14.25" customHeight="1">
      <c r="A104" s="6" t="s">
        <v>456</v>
      </c>
      <c r="B104" s="6" t="s">
        <v>457</v>
      </c>
      <c r="D104" s="10">
        <v>1366703.0</v>
      </c>
      <c r="E104" s="6" t="s">
        <v>18</v>
      </c>
      <c r="G104" s="6" t="s">
        <v>168</v>
      </c>
      <c r="H104" s="6" t="s">
        <v>70</v>
      </c>
      <c r="I104" s="6" t="s">
        <v>38</v>
      </c>
      <c r="J104" s="6" t="s">
        <v>458</v>
      </c>
      <c r="L104" s="6" t="s">
        <v>71</v>
      </c>
      <c r="M104" s="7">
        <v>14.0</v>
      </c>
      <c r="N104" s="7">
        <v>536.0</v>
      </c>
      <c r="O104" s="7">
        <v>13.0</v>
      </c>
      <c r="P104" s="8"/>
    </row>
    <row r="105" ht="14.25" customHeight="1">
      <c r="A105" s="4" t="s">
        <v>459</v>
      </c>
      <c r="B105" s="4" t="s">
        <v>460</v>
      </c>
      <c r="C105" s="4" t="s">
        <v>461</v>
      </c>
      <c r="D105" s="5">
        <v>460184.0</v>
      </c>
      <c r="E105" s="4" t="s">
        <v>27</v>
      </c>
      <c r="F105" s="4" t="s">
        <v>462</v>
      </c>
      <c r="G105" s="4" t="s">
        <v>463</v>
      </c>
      <c r="L105" s="4" t="s">
        <v>34</v>
      </c>
      <c r="M105" s="15">
        <v>1287.0</v>
      </c>
      <c r="N105" s="15">
        <v>79.0</v>
      </c>
      <c r="O105" s="15">
        <v>653.0</v>
      </c>
      <c r="P105" s="8"/>
    </row>
    <row r="106" ht="14.25" customHeight="1">
      <c r="A106" s="4" t="s">
        <v>464</v>
      </c>
      <c r="B106" s="4" t="s">
        <v>465</v>
      </c>
      <c r="C106" s="4" t="s">
        <v>466</v>
      </c>
      <c r="D106" s="5">
        <v>533871.0</v>
      </c>
      <c r="E106" s="4" t="s">
        <v>27</v>
      </c>
      <c r="F106" s="4" t="s">
        <v>79</v>
      </c>
      <c r="G106" s="4" t="s">
        <v>168</v>
      </c>
      <c r="H106" s="6" t="s">
        <v>467</v>
      </c>
      <c r="I106" s="6" t="s">
        <v>126</v>
      </c>
      <c r="J106" s="6" t="s">
        <v>468</v>
      </c>
      <c r="L106" s="4" t="s">
        <v>34</v>
      </c>
      <c r="M106" s="7">
        <v>47617.0</v>
      </c>
      <c r="N106" s="7">
        <v>45029.0</v>
      </c>
      <c r="O106" s="7">
        <v>8677.0</v>
      </c>
      <c r="P106" s="8"/>
    </row>
    <row r="107" ht="14.25" customHeight="1">
      <c r="A107" s="4" t="s">
        <v>469</v>
      </c>
      <c r="B107" s="4" t="s">
        <v>470</v>
      </c>
      <c r="C107" s="4" t="s">
        <v>469</v>
      </c>
      <c r="D107" s="5">
        <v>15738.0</v>
      </c>
      <c r="E107" s="4" t="s">
        <v>18</v>
      </c>
      <c r="H107" s="4" t="s">
        <v>471</v>
      </c>
      <c r="I107" s="6" t="s">
        <v>353</v>
      </c>
      <c r="J107" s="4" t="s">
        <v>472</v>
      </c>
      <c r="L107" s="4" t="s">
        <v>65</v>
      </c>
      <c r="M107" s="7">
        <v>215.0</v>
      </c>
      <c r="N107" s="7">
        <v>2398.0</v>
      </c>
      <c r="O107" s="7">
        <v>191.0</v>
      </c>
      <c r="P107" s="8"/>
    </row>
    <row r="108" ht="14.25" customHeight="1">
      <c r="A108" s="4" t="s">
        <v>473</v>
      </c>
      <c r="B108" s="4" t="s">
        <v>474</v>
      </c>
      <c r="C108" s="4" t="s">
        <v>473</v>
      </c>
      <c r="D108" s="5">
        <v>2311263.0</v>
      </c>
      <c r="E108" s="4" t="s">
        <v>27</v>
      </c>
      <c r="F108" s="4" t="s">
        <v>56</v>
      </c>
      <c r="G108" s="4" t="s">
        <v>57</v>
      </c>
      <c r="L108" s="4" t="s">
        <v>34</v>
      </c>
      <c r="M108" s="7">
        <v>92.0</v>
      </c>
      <c r="N108" s="7">
        <v>1.0</v>
      </c>
      <c r="O108" s="7">
        <v>88.0</v>
      </c>
      <c r="P108" s="8"/>
    </row>
    <row r="109" ht="14.25" customHeight="1">
      <c r="A109" s="6" t="s">
        <v>475</v>
      </c>
      <c r="B109" s="6" t="s">
        <v>476</v>
      </c>
      <c r="C109" s="6" t="s">
        <v>475</v>
      </c>
      <c r="D109" s="10">
        <v>393900.0</v>
      </c>
      <c r="E109" s="6" t="s">
        <v>18</v>
      </c>
      <c r="F109" s="6" t="s">
        <v>477</v>
      </c>
      <c r="G109" s="6" t="s">
        <v>478</v>
      </c>
      <c r="H109" s="6" t="s">
        <v>70</v>
      </c>
      <c r="I109" s="6" t="s">
        <v>38</v>
      </c>
      <c r="J109" s="6" t="s">
        <v>479</v>
      </c>
      <c r="L109" s="6" t="s">
        <v>71</v>
      </c>
      <c r="M109" s="7">
        <v>2238.0</v>
      </c>
      <c r="N109" s="7">
        <v>1310.0</v>
      </c>
      <c r="O109" s="7">
        <v>1114.0</v>
      </c>
      <c r="P109" s="8"/>
    </row>
    <row r="110" ht="14.25" customHeight="1">
      <c r="A110" s="4" t="s">
        <v>480</v>
      </c>
      <c r="B110" s="4" t="s">
        <v>481</v>
      </c>
      <c r="C110" s="4" t="s">
        <v>480</v>
      </c>
      <c r="D110" s="5">
        <v>1878779.0</v>
      </c>
      <c r="E110" s="4" t="s">
        <v>18</v>
      </c>
      <c r="H110" s="4" t="s">
        <v>482</v>
      </c>
      <c r="I110" s="6" t="s">
        <v>63</v>
      </c>
      <c r="L110" s="4" t="s">
        <v>65</v>
      </c>
      <c r="M110" s="7">
        <v>14768.0</v>
      </c>
      <c r="N110" s="7">
        <v>101881.0</v>
      </c>
      <c r="O110" s="7">
        <v>1901.0</v>
      </c>
      <c r="P110" s="9" t="s">
        <v>40</v>
      </c>
    </row>
    <row r="111" ht="14.25" customHeight="1">
      <c r="B111" s="4" t="s">
        <v>483</v>
      </c>
      <c r="C111" s="4" t="s">
        <v>483</v>
      </c>
      <c r="D111" s="5">
        <v>560165.0</v>
      </c>
      <c r="E111" s="4" t="s">
        <v>18</v>
      </c>
      <c r="H111" s="4" t="s">
        <v>484</v>
      </c>
      <c r="I111" s="6" t="s">
        <v>485</v>
      </c>
      <c r="L111" s="4" t="s">
        <v>39</v>
      </c>
      <c r="M111" s="7">
        <v>15547.0</v>
      </c>
      <c r="N111" s="7">
        <v>194303.0</v>
      </c>
      <c r="O111" s="7">
        <v>1861.0</v>
      </c>
      <c r="P111" s="9" t="s">
        <v>40</v>
      </c>
    </row>
    <row r="112" ht="14.25" customHeight="1">
      <c r="A112" s="4" t="s">
        <v>486</v>
      </c>
      <c r="B112" s="4" t="s">
        <v>487</v>
      </c>
      <c r="C112" s="4" t="s">
        <v>486</v>
      </c>
      <c r="D112" s="5">
        <v>160274.0</v>
      </c>
      <c r="E112" s="4" t="s">
        <v>18</v>
      </c>
      <c r="H112" s="4" t="s">
        <v>182</v>
      </c>
      <c r="I112" s="6" t="s">
        <v>126</v>
      </c>
      <c r="K112" s="6" t="s">
        <v>317</v>
      </c>
      <c r="L112" s="4" t="s">
        <v>24</v>
      </c>
      <c r="M112" s="7">
        <v>13288.0</v>
      </c>
      <c r="N112" s="7">
        <v>3493.0</v>
      </c>
      <c r="O112" s="7">
        <v>1979.0</v>
      </c>
      <c r="P112" s="8"/>
    </row>
    <row r="113" ht="14.25" customHeight="1">
      <c r="A113" s="4" t="s">
        <v>488</v>
      </c>
      <c r="B113" s="4" t="s">
        <v>489</v>
      </c>
      <c r="D113" s="5">
        <v>1997369.0</v>
      </c>
      <c r="E113" s="4" t="s">
        <v>27</v>
      </c>
      <c r="F113" s="4" t="s">
        <v>305</v>
      </c>
      <c r="G113" s="4" t="s">
        <v>490</v>
      </c>
      <c r="L113" s="4" t="s">
        <v>34</v>
      </c>
      <c r="M113" s="7">
        <v>3.0</v>
      </c>
      <c r="N113" s="7">
        <v>0.0</v>
      </c>
      <c r="O113" s="7">
        <v>3.0</v>
      </c>
      <c r="P113" s="8"/>
    </row>
    <row r="114" ht="14.25" customHeight="1">
      <c r="A114" s="4" t="s">
        <v>491</v>
      </c>
      <c r="B114" s="4" t="s">
        <v>492</v>
      </c>
      <c r="C114" s="4" t="s">
        <v>493</v>
      </c>
      <c r="D114" s="5">
        <v>1287370.0</v>
      </c>
      <c r="E114" s="4" t="s">
        <v>18</v>
      </c>
      <c r="H114" s="4" t="s">
        <v>310</v>
      </c>
      <c r="I114" s="6" t="s">
        <v>22</v>
      </c>
      <c r="L114" s="4" t="s">
        <v>39</v>
      </c>
      <c r="M114" s="7">
        <v>5872.0</v>
      </c>
      <c r="N114" s="7">
        <v>10674.0</v>
      </c>
      <c r="O114" s="7">
        <v>3020.0</v>
      </c>
      <c r="P114" s="8"/>
    </row>
    <row r="115" ht="14.25" customHeight="1">
      <c r="A115" s="4" t="s">
        <v>494</v>
      </c>
      <c r="B115" s="4" t="s">
        <v>495</v>
      </c>
      <c r="C115" s="4" t="s">
        <v>494</v>
      </c>
      <c r="D115" s="5">
        <v>3712703.0</v>
      </c>
      <c r="E115" s="4" t="s">
        <v>27</v>
      </c>
      <c r="F115" s="4" t="s">
        <v>496</v>
      </c>
      <c r="G115" s="4" t="s">
        <v>497</v>
      </c>
      <c r="L115" s="4" t="s">
        <v>34</v>
      </c>
      <c r="M115" s="7">
        <v>400.0</v>
      </c>
      <c r="N115" s="7">
        <v>379.0</v>
      </c>
      <c r="O115" s="7">
        <v>280.0</v>
      </c>
      <c r="P115" s="8"/>
    </row>
    <row r="116" ht="14.25" customHeight="1">
      <c r="A116" s="4" t="s">
        <v>498</v>
      </c>
      <c r="B116" s="4" t="s">
        <v>499</v>
      </c>
      <c r="C116" s="4" t="s">
        <v>498</v>
      </c>
      <c r="D116" s="5">
        <v>3166493.0</v>
      </c>
      <c r="E116" s="4" t="s">
        <v>27</v>
      </c>
      <c r="F116" s="4" t="s">
        <v>500</v>
      </c>
      <c r="G116" s="4" t="s">
        <v>501</v>
      </c>
      <c r="L116" s="4" t="s">
        <v>34</v>
      </c>
      <c r="M116" s="7">
        <v>213.0</v>
      </c>
      <c r="N116" s="7">
        <v>0.0</v>
      </c>
      <c r="O116" s="7">
        <v>160.0</v>
      </c>
      <c r="P116" s="8"/>
    </row>
    <row r="117" ht="14.25" customHeight="1">
      <c r="A117" s="4" t="s">
        <v>502</v>
      </c>
      <c r="B117" s="4" t="s">
        <v>503</v>
      </c>
      <c r="C117" s="4" t="s">
        <v>504</v>
      </c>
      <c r="D117" s="5">
        <v>614422.0</v>
      </c>
      <c r="E117" s="4" t="s">
        <v>18</v>
      </c>
      <c r="H117" s="4" t="s">
        <v>213</v>
      </c>
      <c r="I117" s="6" t="s">
        <v>214</v>
      </c>
      <c r="K117" s="4" t="s">
        <v>23</v>
      </c>
      <c r="L117" s="4" t="s">
        <v>24</v>
      </c>
      <c r="M117" s="7">
        <v>5291.0</v>
      </c>
      <c r="N117" s="7">
        <v>193.0</v>
      </c>
      <c r="O117" s="7">
        <v>610.0</v>
      </c>
      <c r="P117" s="8"/>
    </row>
    <row r="118" ht="14.25" customHeight="1">
      <c r="A118" s="4" t="s">
        <v>505</v>
      </c>
      <c r="B118" s="4" t="s">
        <v>506</v>
      </c>
      <c r="C118" s="4" t="s">
        <v>505</v>
      </c>
      <c r="D118" s="5">
        <v>3046688.0</v>
      </c>
      <c r="E118" s="4" t="s">
        <v>27</v>
      </c>
      <c r="F118" s="4" t="s">
        <v>507</v>
      </c>
      <c r="G118" s="4" t="s">
        <v>508</v>
      </c>
      <c r="L118" s="4" t="s">
        <v>34</v>
      </c>
      <c r="M118" s="7">
        <v>518.0</v>
      </c>
      <c r="N118" s="7">
        <v>49.0</v>
      </c>
      <c r="O118" s="7">
        <v>304.0</v>
      </c>
      <c r="P118" s="8"/>
    </row>
    <row r="119" ht="14.25" customHeight="1">
      <c r="A119" s="4" t="s">
        <v>509</v>
      </c>
      <c r="B119" s="4" t="s">
        <v>510</v>
      </c>
      <c r="C119" s="4" t="s">
        <v>509</v>
      </c>
      <c r="D119" s="5">
        <v>1976574.0</v>
      </c>
      <c r="E119" s="4" t="s">
        <v>18</v>
      </c>
      <c r="H119" s="4" t="s">
        <v>511</v>
      </c>
      <c r="I119" s="6" t="s">
        <v>512</v>
      </c>
      <c r="K119" s="4" t="s">
        <v>513</v>
      </c>
      <c r="L119" s="4" t="s">
        <v>24</v>
      </c>
      <c r="M119" s="7">
        <v>26506.0</v>
      </c>
      <c r="N119" s="7">
        <v>123448.0</v>
      </c>
      <c r="O119" s="7">
        <v>2345.0</v>
      </c>
      <c r="P119" s="8"/>
    </row>
    <row r="120" ht="14.25" customHeight="1">
      <c r="A120" s="4" t="s">
        <v>514</v>
      </c>
      <c r="B120" s="4" t="s">
        <v>515</v>
      </c>
      <c r="C120" s="4" t="s">
        <v>514</v>
      </c>
      <c r="D120" s="5">
        <v>2899829.0</v>
      </c>
      <c r="E120" s="4" t="s">
        <v>18</v>
      </c>
      <c r="H120" s="4" t="s">
        <v>50</v>
      </c>
      <c r="I120" s="6" t="s">
        <v>51</v>
      </c>
      <c r="K120" s="4" t="s">
        <v>516</v>
      </c>
      <c r="L120" s="4" t="s">
        <v>53</v>
      </c>
      <c r="M120" s="7">
        <v>6026.0</v>
      </c>
      <c r="N120" s="7">
        <v>75503.0</v>
      </c>
      <c r="O120" s="7">
        <v>1729.0</v>
      </c>
      <c r="P120" s="9" t="s">
        <v>40</v>
      </c>
    </row>
    <row r="121" ht="14.25" customHeight="1">
      <c r="A121" s="4" t="s">
        <v>517</v>
      </c>
      <c r="B121" s="4" t="s">
        <v>518</v>
      </c>
      <c r="C121" s="4" t="s">
        <v>519</v>
      </c>
      <c r="D121" s="5">
        <v>4498335.0</v>
      </c>
      <c r="E121" s="4" t="s">
        <v>18</v>
      </c>
      <c r="F121" s="4" t="s">
        <v>520</v>
      </c>
      <c r="G121" s="4" t="s">
        <v>521</v>
      </c>
      <c r="H121" s="4" t="s">
        <v>522</v>
      </c>
      <c r="I121" s="6" t="s">
        <v>523</v>
      </c>
      <c r="K121" s="4" t="s">
        <v>23</v>
      </c>
      <c r="L121" s="4" t="s">
        <v>24</v>
      </c>
      <c r="M121" s="7">
        <v>239.0</v>
      </c>
      <c r="N121" s="7">
        <v>6.0</v>
      </c>
      <c r="O121" s="7">
        <v>161.0</v>
      </c>
      <c r="P121" s="8"/>
    </row>
    <row r="122" ht="14.25" customHeight="1">
      <c r="A122" s="4" t="s">
        <v>524</v>
      </c>
      <c r="B122" s="4" t="s">
        <v>525</v>
      </c>
      <c r="C122" s="4" t="s">
        <v>526</v>
      </c>
      <c r="D122" s="5">
        <v>1059434.0</v>
      </c>
      <c r="E122" s="4" t="s">
        <v>27</v>
      </c>
      <c r="F122" s="4" t="s">
        <v>75</v>
      </c>
      <c r="G122" s="4" t="s">
        <v>527</v>
      </c>
      <c r="L122" s="4" t="s">
        <v>34</v>
      </c>
      <c r="M122" s="7">
        <v>36153.0</v>
      </c>
      <c r="N122" s="7">
        <v>9504.0</v>
      </c>
      <c r="O122" s="7">
        <v>4244.0</v>
      </c>
      <c r="P122" s="8"/>
    </row>
    <row r="123" ht="14.25" customHeight="1">
      <c r="A123" s="4" t="s">
        <v>528</v>
      </c>
      <c r="B123" s="4" t="s">
        <v>529</v>
      </c>
      <c r="C123" s="4" t="s">
        <v>528</v>
      </c>
      <c r="D123" s="5">
        <v>108009.0</v>
      </c>
      <c r="E123" s="4" t="s">
        <v>27</v>
      </c>
      <c r="F123" s="4" t="s">
        <v>79</v>
      </c>
      <c r="G123" s="4" t="s">
        <v>168</v>
      </c>
      <c r="H123" s="4" t="s">
        <v>99</v>
      </c>
      <c r="I123" s="6" t="s">
        <v>100</v>
      </c>
      <c r="K123" s="4" t="s">
        <v>530</v>
      </c>
      <c r="L123" s="4" t="s">
        <v>34</v>
      </c>
      <c r="M123" s="7">
        <v>5110.0</v>
      </c>
      <c r="N123" s="7">
        <v>31571.0</v>
      </c>
      <c r="O123" s="7">
        <v>2527.0</v>
      </c>
      <c r="P123" s="9" t="s">
        <v>40</v>
      </c>
    </row>
    <row r="124" ht="14.25" customHeight="1">
      <c r="A124" s="4" t="s">
        <v>531</v>
      </c>
      <c r="B124" s="4" t="s">
        <v>532</v>
      </c>
      <c r="C124" s="4" t="s">
        <v>531</v>
      </c>
      <c r="D124" s="5">
        <v>2461135.0</v>
      </c>
      <c r="E124" s="4" t="s">
        <v>18</v>
      </c>
      <c r="F124" s="4" t="s">
        <v>533</v>
      </c>
      <c r="H124" s="4" t="s">
        <v>296</v>
      </c>
      <c r="I124" s="6" t="s">
        <v>294</v>
      </c>
      <c r="L124" s="4" t="s">
        <v>39</v>
      </c>
      <c r="M124" s="7">
        <v>5.0</v>
      </c>
      <c r="N124" s="7">
        <v>1398.0</v>
      </c>
      <c r="O124" s="7">
        <v>4.0</v>
      </c>
      <c r="P124" s="8"/>
    </row>
    <row r="125" ht="14.25" customHeight="1">
      <c r="A125" s="4" t="s">
        <v>534</v>
      </c>
      <c r="B125" s="4" t="s">
        <v>535</v>
      </c>
      <c r="C125" s="4" t="s">
        <v>534</v>
      </c>
      <c r="D125" s="5">
        <v>2481900.0</v>
      </c>
      <c r="E125" s="4" t="s">
        <v>18</v>
      </c>
      <c r="H125" s="4" t="s">
        <v>536</v>
      </c>
      <c r="I125" s="6" t="s">
        <v>537</v>
      </c>
      <c r="L125" s="4" t="s">
        <v>39</v>
      </c>
      <c r="M125" s="7">
        <v>62.0</v>
      </c>
      <c r="N125" s="7">
        <v>21274.0</v>
      </c>
      <c r="O125" s="7">
        <v>44.0</v>
      </c>
      <c r="P125" s="8"/>
    </row>
    <row r="126" ht="14.25" customHeight="1">
      <c r="A126" s="4" t="s">
        <v>538</v>
      </c>
      <c r="B126" s="4" t="s">
        <v>539</v>
      </c>
      <c r="C126" s="4" t="s">
        <v>538</v>
      </c>
      <c r="D126" s="5">
        <v>20593.0</v>
      </c>
      <c r="E126" s="4" t="s">
        <v>18</v>
      </c>
      <c r="H126" s="4" t="s">
        <v>540</v>
      </c>
      <c r="I126" s="6" t="s">
        <v>63</v>
      </c>
      <c r="K126" s="4" t="s">
        <v>23</v>
      </c>
      <c r="L126" s="4" t="s">
        <v>378</v>
      </c>
      <c r="M126" s="7">
        <v>5522.0</v>
      </c>
      <c r="N126" s="7">
        <v>112218.0</v>
      </c>
      <c r="O126" s="7">
        <v>1681.0</v>
      </c>
      <c r="P126" s="9" t="s">
        <v>40</v>
      </c>
    </row>
    <row r="127" ht="14.25" customHeight="1">
      <c r="A127" s="4" t="s">
        <v>541</v>
      </c>
      <c r="B127" s="4" t="s">
        <v>542</v>
      </c>
      <c r="D127" s="5">
        <v>948571.0</v>
      </c>
      <c r="E127" s="4" t="s">
        <v>27</v>
      </c>
      <c r="F127" s="4" t="s">
        <v>130</v>
      </c>
      <c r="G127" s="4" t="s">
        <v>168</v>
      </c>
      <c r="L127" s="4" t="s">
        <v>34</v>
      </c>
      <c r="M127" s="7">
        <v>0.0</v>
      </c>
      <c r="N127" s="7">
        <v>12.0</v>
      </c>
      <c r="O127" s="7">
        <v>0.0</v>
      </c>
      <c r="P127" s="8"/>
    </row>
    <row r="128" ht="14.25" customHeight="1">
      <c r="A128" s="4" t="s">
        <v>543</v>
      </c>
      <c r="B128" s="4" t="s">
        <v>544</v>
      </c>
      <c r="C128" s="4" t="s">
        <v>543</v>
      </c>
      <c r="D128" s="5">
        <v>1434180.0</v>
      </c>
      <c r="E128" s="4" t="s">
        <v>27</v>
      </c>
      <c r="F128" s="4" t="s">
        <v>545</v>
      </c>
      <c r="G128" s="4" t="s">
        <v>546</v>
      </c>
      <c r="L128" s="4" t="s">
        <v>34</v>
      </c>
      <c r="M128" s="7">
        <v>7.0</v>
      </c>
      <c r="N128" s="7">
        <v>0.0</v>
      </c>
      <c r="O128" s="7">
        <v>5.0</v>
      </c>
      <c r="P128" s="8"/>
    </row>
    <row r="129" ht="14.25" customHeight="1">
      <c r="A129" s="4" t="s">
        <v>547</v>
      </c>
      <c r="B129" s="4" t="s">
        <v>548</v>
      </c>
      <c r="C129" s="4" t="s">
        <v>547</v>
      </c>
      <c r="D129" s="5">
        <v>5930319.0</v>
      </c>
      <c r="E129" s="4" t="s">
        <v>27</v>
      </c>
      <c r="F129" s="4" t="s">
        <v>123</v>
      </c>
      <c r="G129" s="4" t="s">
        <v>549</v>
      </c>
      <c r="L129" s="4" t="s">
        <v>34</v>
      </c>
      <c r="M129" s="7">
        <v>34.0</v>
      </c>
      <c r="N129" s="7">
        <v>6.0</v>
      </c>
      <c r="O129" s="7">
        <v>32.0</v>
      </c>
      <c r="P129" s="8"/>
    </row>
    <row r="130" ht="14.25" customHeight="1">
      <c r="A130" s="4" t="s">
        <v>550</v>
      </c>
      <c r="B130" s="4" t="s">
        <v>551</v>
      </c>
      <c r="C130" s="4" t="s">
        <v>550</v>
      </c>
      <c r="D130" s="5">
        <v>2463161.0</v>
      </c>
      <c r="E130" s="4" t="s">
        <v>18</v>
      </c>
      <c r="F130" s="4" t="s">
        <v>167</v>
      </c>
      <c r="G130" s="4" t="s">
        <v>168</v>
      </c>
      <c r="H130" s="4" t="s">
        <v>70</v>
      </c>
      <c r="I130" s="6" t="s">
        <v>38</v>
      </c>
      <c r="L130" s="4" t="s">
        <v>24</v>
      </c>
      <c r="M130" s="7">
        <v>5185.0</v>
      </c>
      <c r="N130" s="7">
        <v>15947.0</v>
      </c>
      <c r="O130" s="7">
        <v>1475.0</v>
      </c>
      <c r="P130" s="8"/>
    </row>
    <row r="131" ht="14.25" customHeight="1">
      <c r="A131" s="4" t="s">
        <v>552</v>
      </c>
      <c r="B131" s="4" t="s">
        <v>553</v>
      </c>
      <c r="C131" s="4" t="s">
        <v>552</v>
      </c>
      <c r="D131" s="5">
        <v>7527033.0</v>
      </c>
      <c r="E131" s="4" t="s">
        <v>27</v>
      </c>
      <c r="F131" s="4" t="s">
        <v>554</v>
      </c>
      <c r="G131" s="4" t="s">
        <v>555</v>
      </c>
      <c r="L131" s="4" t="s">
        <v>34</v>
      </c>
      <c r="M131" s="7">
        <v>0.0</v>
      </c>
      <c r="N131" s="7">
        <v>0.0</v>
      </c>
      <c r="O131" s="7">
        <v>0.0</v>
      </c>
      <c r="P131" s="8"/>
    </row>
    <row r="132" ht="14.25" customHeight="1">
      <c r="A132" s="4" t="s">
        <v>556</v>
      </c>
      <c r="B132" s="4" t="s">
        <v>557</v>
      </c>
      <c r="C132" s="4" t="s">
        <v>558</v>
      </c>
      <c r="D132" s="5">
        <v>224191.0</v>
      </c>
      <c r="E132" s="4" t="s">
        <v>27</v>
      </c>
      <c r="F132" s="4" t="s">
        <v>559</v>
      </c>
      <c r="G132" s="4" t="s">
        <v>560</v>
      </c>
      <c r="L132" s="4" t="s">
        <v>34</v>
      </c>
      <c r="M132" s="7">
        <v>684.0</v>
      </c>
      <c r="N132" s="7">
        <v>890.0</v>
      </c>
      <c r="O132" s="7">
        <v>368.0</v>
      </c>
      <c r="P132" s="8"/>
    </row>
    <row r="133" ht="14.25" customHeight="1">
      <c r="A133" s="4" t="s">
        <v>561</v>
      </c>
      <c r="B133" s="4" t="s">
        <v>562</v>
      </c>
      <c r="C133" s="4" t="s">
        <v>561</v>
      </c>
      <c r="D133" s="5">
        <v>3191614.0</v>
      </c>
      <c r="E133" s="4" t="s">
        <v>27</v>
      </c>
      <c r="F133" s="4" t="s">
        <v>123</v>
      </c>
      <c r="G133" s="4" t="s">
        <v>563</v>
      </c>
      <c r="L133" s="4" t="s">
        <v>34</v>
      </c>
      <c r="M133" s="7">
        <v>33.0</v>
      </c>
      <c r="N133" s="7">
        <v>0.0</v>
      </c>
      <c r="O133" s="7">
        <v>19.0</v>
      </c>
      <c r="P133" s="8"/>
    </row>
    <row r="134" ht="14.25" customHeight="1">
      <c r="A134" s="4" t="s">
        <v>564</v>
      </c>
      <c r="B134" s="4" t="s">
        <v>565</v>
      </c>
      <c r="C134" s="4" t="s">
        <v>564</v>
      </c>
      <c r="D134" s="5">
        <v>19073.0</v>
      </c>
      <c r="E134" s="4" t="s">
        <v>18</v>
      </c>
      <c r="G134" s="4" t="s">
        <v>566</v>
      </c>
      <c r="H134" s="4" t="s">
        <v>567</v>
      </c>
      <c r="I134" s="6" t="s">
        <v>38</v>
      </c>
      <c r="L134" s="4" t="s">
        <v>378</v>
      </c>
      <c r="M134" s="7">
        <v>7712.0</v>
      </c>
      <c r="N134" s="7">
        <v>344653.0</v>
      </c>
      <c r="O134" s="7">
        <v>1779.0</v>
      </c>
      <c r="P134" s="9" t="s">
        <v>40</v>
      </c>
    </row>
    <row r="135" ht="14.25" customHeight="1">
      <c r="A135" s="4" t="s">
        <v>568</v>
      </c>
      <c r="B135" s="4" t="s">
        <v>569</v>
      </c>
      <c r="C135" s="4" t="s">
        <v>568</v>
      </c>
      <c r="D135" s="5">
        <v>1910832.0</v>
      </c>
      <c r="E135" s="4" t="s">
        <v>18</v>
      </c>
      <c r="G135" s="4" t="s">
        <v>570</v>
      </c>
      <c r="H135" s="4" t="s">
        <v>511</v>
      </c>
      <c r="I135" s="6" t="s">
        <v>512</v>
      </c>
      <c r="L135" s="4" t="s">
        <v>24</v>
      </c>
      <c r="M135" s="7">
        <v>3238.0</v>
      </c>
      <c r="N135" s="7">
        <v>43373.0</v>
      </c>
      <c r="O135" s="7">
        <v>1490.0</v>
      </c>
      <c r="P135" s="9" t="s">
        <v>40</v>
      </c>
    </row>
    <row r="136" ht="14.25" customHeight="1">
      <c r="A136" s="4" t="s">
        <v>571</v>
      </c>
      <c r="B136" s="4" t="s">
        <v>572</v>
      </c>
      <c r="C136" s="4" t="s">
        <v>571</v>
      </c>
      <c r="D136" s="5">
        <v>18977.0</v>
      </c>
      <c r="E136" s="4" t="s">
        <v>27</v>
      </c>
      <c r="F136" s="4" t="s">
        <v>305</v>
      </c>
      <c r="G136" s="4" t="s">
        <v>573</v>
      </c>
      <c r="L136" s="4" t="s">
        <v>34</v>
      </c>
      <c r="M136" s="7">
        <v>210.0</v>
      </c>
      <c r="N136" s="7">
        <v>329.0</v>
      </c>
      <c r="O136" s="7">
        <v>158.0</v>
      </c>
      <c r="P136" s="8"/>
    </row>
    <row r="137" ht="14.25" customHeight="1">
      <c r="B137" s="4" t="s">
        <v>574</v>
      </c>
      <c r="D137" s="5">
        <v>2423909.0</v>
      </c>
      <c r="E137" s="4" t="s">
        <v>18</v>
      </c>
      <c r="H137" s="4" t="s">
        <v>300</v>
      </c>
      <c r="I137" s="6" t="s">
        <v>301</v>
      </c>
      <c r="J137" s="4" t="s">
        <v>575</v>
      </c>
      <c r="L137" s="4" t="s">
        <v>65</v>
      </c>
      <c r="M137" s="7">
        <v>18.0</v>
      </c>
      <c r="N137" s="7">
        <v>122946.0</v>
      </c>
      <c r="O137" s="7">
        <v>14.0</v>
      </c>
      <c r="P137" s="8"/>
    </row>
    <row r="138" ht="14.25" customHeight="1">
      <c r="A138" s="6" t="s">
        <v>576</v>
      </c>
      <c r="B138" s="6" t="s">
        <v>577</v>
      </c>
      <c r="C138" s="6" t="s">
        <v>576</v>
      </c>
      <c r="D138" s="10">
        <v>1577666.0</v>
      </c>
      <c r="E138" s="6" t="s">
        <v>18</v>
      </c>
      <c r="F138" s="6" t="s">
        <v>578</v>
      </c>
      <c r="G138" s="6" t="s">
        <v>579</v>
      </c>
      <c r="H138" s="6" t="s">
        <v>580</v>
      </c>
      <c r="I138" s="6" t="s">
        <v>581</v>
      </c>
      <c r="L138" s="6" t="s">
        <v>582</v>
      </c>
      <c r="M138" s="7"/>
      <c r="N138" s="7"/>
      <c r="O138" s="7"/>
      <c r="P138" s="8"/>
    </row>
    <row r="139" ht="14.25" customHeight="1">
      <c r="A139" s="4" t="s">
        <v>583</v>
      </c>
      <c r="B139" s="4" t="s">
        <v>584</v>
      </c>
      <c r="C139" s="4" t="s">
        <v>583</v>
      </c>
      <c r="D139" s="5">
        <v>2149285.0</v>
      </c>
      <c r="E139" s="4" t="s">
        <v>27</v>
      </c>
      <c r="F139" s="4" t="s">
        <v>123</v>
      </c>
      <c r="G139" s="4" t="s">
        <v>447</v>
      </c>
      <c r="H139" s="4" t="s">
        <v>585</v>
      </c>
      <c r="I139" s="6" t="s">
        <v>38</v>
      </c>
      <c r="L139" s="4" t="s">
        <v>371</v>
      </c>
      <c r="M139" s="7">
        <v>9000.0</v>
      </c>
      <c r="N139" s="7">
        <v>63638.0</v>
      </c>
      <c r="O139" s="7">
        <v>3135.0</v>
      </c>
      <c r="P139" s="8"/>
    </row>
    <row r="140" ht="14.25" customHeight="1">
      <c r="A140" s="4" t="s">
        <v>586</v>
      </c>
      <c r="B140" s="4" t="s">
        <v>587</v>
      </c>
      <c r="C140" s="4" t="s">
        <v>586</v>
      </c>
      <c r="D140" s="5">
        <v>114283.0</v>
      </c>
      <c r="E140" s="4" t="s">
        <v>27</v>
      </c>
      <c r="F140" s="4" t="s">
        <v>588</v>
      </c>
      <c r="G140" s="4" t="s">
        <v>589</v>
      </c>
      <c r="H140" s="4" t="s">
        <v>106</v>
      </c>
      <c r="I140" s="6" t="s">
        <v>107</v>
      </c>
      <c r="L140" s="4" t="s">
        <v>590</v>
      </c>
      <c r="M140" s="7">
        <v>2795.0</v>
      </c>
      <c r="N140" s="7">
        <v>221.0</v>
      </c>
      <c r="O140" s="7">
        <v>1011.0</v>
      </c>
      <c r="P140" s="8"/>
    </row>
    <row r="141" ht="14.25" customHeight="1">
      <c r="A141" s="4" t="s">
        <v>591</v>
      </c>
      <c r="B141" s="4" t="s">
        <v>592</v>
      </c>
      <c r="D141" s="5">
        <v>220366.0</v>
      </c>
      <c r="E141" s="4" t="s">
        <v>18</v>
      </c>
      <c r="F141" s="4" t="s">
        <v>593</v>
      </c>
      <c r="G141" s="4" t="s">
        <v>594</v>
      </c>
      <c r="H141" s="4" t="s">
        <v>595</v>
      </c>
      <c r="I141" s="6" t="s">
        <v>113</v>
      </c>
      <c r="L141" s="4" t="s">
        <v>24</v>
      </c>
      <c r="M141" s="7">
        <v>1510.0</v>
      </c>
      <c r="N141" s="7">
        <v>1033.0</v>
      </c>
      <c r="O141" s="7">
        <v>483.0</v>
      </c>
      <c r="P141" s="8"/>
    </row>
    <row r="142" ht="14.25" customHeight="1">
      <c r="A142" s="4" t="s">
        <v>596</v>
      </c>
      <c r="B142" s="4" t="s">
        <v>597</v>
      </c>
      <c r="C142" s="4" t="s">
        <v>596</v>
      </c>
      <c r="D142" s="5">
        <v>561.0</v>
      </c>
      <c r="E142" s="4" t="s">
        <v>18</v>
      </c>
      <c r="G142" s="4" t="s">
        <v>598</v>
      </c>
      <c r="H142" s="4" t="s">
        <v>396</v>
      </c>
      <c r="I142" s="6" t="s">
        <v>397</v>
      </c>
      <c r="L142" s="4" t="s">
        <v>24</v>
      </c>
      <c r="M142" s="7">
        <v>3714.0</v>
      </c>
      <c r="N142" s="7">
        <v>55812.0</v>
      </c>
      <c r="O142" s="7">
        <v>1284.0</v>
      </c>
      <c r="P142" s="8"/>
    </row>
    <row r="143" ht="14.25" customHeight="1">
      <c r="A143" s="4" t="s">
        <v>599</v>
      </c>
      <c r="B143" s="4" t="s">
        <v>600</v>
      </c>
      <c r="D143" s="5">
        <v>1106442.0</v>
      </c>
      <c r="E143" s="4" t="s">
        <v>18</v>
      </c>
      <c r="H143" s="4" t="s">
        <v>601</v>
      </c>
      <c r="I143" s="6" t="s">
        <v>294</v>
      </c>
      <c r="L143" s="4" t="s">
        <v>65</v>
      </c>
      <c r="M143" s="7">
        <v>3.0</v>
      </c>
      <c r="N143" s="7">
        <v>1114.0</v>
      </c>
      <c r="O143" s="7">
        <v>3.0</v>
      </c>
      <c r="P143" s="8"/>
    </row>
    <row r="144" ht="14.25" customHeight="1">
      <c r="A144" s="4" t="s">
        <v>602</v>
      </c>
      <c r="B144" s="4" t="s">
        <v>603</v>
      </c>
      <c r="D144" s="5">
        <v>6669705.0</v>
      </c>
      <c r="E144" s="4" t="s">
        <v>18</v>
      </c>
      <c r="F144" s="4" t="s">
        <v>604</v>
      </c>
      <c r="G144" s="4" t="s">
        <v>605</v>
      </c>
      <c r="H144" s="4" t="s">
        <v>606</v>
      </c>
      <c r="I144" s="6" t="s">
        <v>607</v>
      </c>
      <c r="L144" s="4" t="s">
        <v>39</v>
      </c>
      <c r="M144" s="7">
        <v>0.0</v>
      </c>
      <c r="N144" s="7">
        <v>40.0</v>
      </c>
      <c r="O144" s="7">
        <v>0.0</v>
      </c>
      <c r="P144" s="8"/>
    </row>
    <row r="145" ht="14.25" customHeight="1">
      <c r="A145" s="4" t="s">
        <v>608</v>
      </c>
      <c r="B145" s="4" t="s">
        <v>609</v>
      </c>
      <c r="C145" s="4" t="s">
        <v>610</v>
      </c>
      <c r="D145" s="5">
        <v>1341402.0</v>
      </c>
      <c r="E145" s="4" t="s">
        <v>27</v>
      </c>
      <c r="F145" s="4" t="s">
        <v>245</v>
      </c>
      <c r="L145" s="4" t="s">
        <v>29</v>
      </c>
      <c r="M145" s="7">
        <v>4481.0</v>
      </c>
      <c r="N145" s="7">
        <v>69434.0</v>
      </c>
      <c r="O145" s="7">
        <v>1039.0</v>
      </c>
      <c r="P145" s="9" t="s">
        <v>40</v>
      </c>
    </row>
    <row r="146" ht="14.25" customHeight="1">
      <c r="A146" s="4" t="s">
        <v>611</v>
      </c>
      <c r="B146" s="4" t="s">
        <v>612</v>
      </c>
      <c r="C146" s="4" t="s">
        <v>611</v>
      </c>
      <c r="D146" s="5">
        <v>1673071.0</v>
      </c>
      <c r="E146" s="4" t="s">
        <v>27</v>
      </c>
      <c r="F146" s="4" t="s">
        <v>392</v>
      </c>
      <c r="G146" s="4" t="s">
        <v>613</v>
      </c>
      <c r="L146" s="4" t="s">
        <v>34</v>
      </c>
      <c r="M146" s="7">
        <v>78.0</v>
      </c>
      <c r="N146" s="7">
        <v>122.0</v>
      </c>
      <c r="O146" s="7">
        <v>75.0</v>
      </c>
      <c r="P146" s="8"/>
    </row>
    <row r="147" ht="14.25" customHeight="1">
      <c r="A147" s="4" t="s">
        <v>614</v>
      </c>
      <c r="B147" s="4" t="s">
        <v>615</v>
      </c>
      <c r="C147" s="4" t="s">
        <v>614</v>
      </c>
      <c r="D147" s="5">
        <v>46437.0</v>
      </c>
      <c r="E147" s="4" t="s">
        <v>27</v>
      </c>
      <c r="F147" s="4" t="s">
        <v>588</v>
      </c>
      <c r="G147" s="4" t="s">
        <v>616</v>
      </c>
      <c r="L147" s="4" t="s">
        <v>34</v>
      </c>
      <c r="M147" s="7">
        <v>840.0</v>
      </c>
      <c r="N147" s="7">
        <v>115.0</v>
      </c>
      <c r="O147" s="7">
        <v>419.0</v>
      </c>
      <c r="P147" s="8"/>
    </row>
    <row r="148" ht="14.25" customHeight="1">
      <c r="A148" s="4" t="s">
        <v>617</v>
      </c>
      <c r="B148" s="4" t="s">
        <v>618</v>
      </c>
      <c r="C148" s="4" t="s">
        <v>619</v>
      </c>
      <c r="D148" s="5">
        <v>18062.0</v>
      </c>
      <c r="E148" s="4" t="s">
        <v>27</v>
      </c>
      <c r="F148" s="4" t="s">
        <v>32</v>
      </c>
      <c r="G148" s="4" t="s">
        <v>620</v>
      </c>
      <c r="H148" s="4" t="s">
        <v>182</v>
      </c>
      <c r="I148" s="6" t="s">
        <v>126</v>
      </c>
      <c r="L148" s="4" t="s">
        <v>34</v>
      </c>
      <c r="M148" s="7">
        <v>22661.0</v>
      </c>
      <c r="N148" s="7">
        <v>17862.0</v>
      </c>
      <c r="O148" s="7">
        <v>4853.0</v>
      </c>
      <c r="P148" s="9" t="s">
        <v>40</v>
      </c>
    </row>
    <row r="149" ht="14.25" customHeight="1">
      <c r="A149" s="4" t="s">
        <v>621</v>
      </c>
      <c r="B149" s="4" t="s">
        <v>622</v>
      </c>
      <c r="D149" s="5">
        <v>77761.0</v>
      </c>
      <c r="E149" s="4" t="s">
        <v>27</v>
      </c>
      <c r="F149" s="4" t="s">
        <v>623</v>
      </c>
      <c r="G149" s="4" t="s">
        <v>624</v>
      </c>
      <c r="L149" s="4" t="s">
        <v>34</v>
      </c>
      <c r="M149" s="7">
        <v>4.0</v>
      </c>
      <c r="N149" s="7">
        <v>3.0</v>
      </c>
      <c r="O149" s="7">
        <v>4.0</v>
      </c>
      <c r="P149" s="8"/>
    </row>
    <row r="150" ht="14.25" customHeight="1">
      <c r="A150" s="4" t="s">
        <v>625</v>
      </c>
      <c r="B150" s="4" t="s">
        <v>626</v>
      </c>
      <c r="C150" s="4" t="s">
        <v>625</v>
      </c>
      <c r="D150" s="5">
        <v>2172241.0</v>
      </c>
      <c r="E150" s="4" t="s">
        <v>27</v>
      </c>
      <c r="F150" s="4" t="s">
        <v>627</v>
      </c>
      <c r="G150" s="4" t="s">
        <v>628</v>
      </c>
      <c r="L150" s="4" t="s">
        <v>34</v>
      </c>
      <c r="M150" s="7">
        <v>1257.0</v>
      </c>
      <c r="N150" s="7">
        <v>11.0</v>
      </c>
      <c r="O150" s="7">
        <v>577.0</v>
      </c>
      <c r="P150" s="8"/>
    </row>
    <row r="151" ht="14.25" customHeight="1">
      <c r="A151" s="6" t="s">
        <v>629</v>
      </c>
      <c r="B151" s="6" t="s">
        <v>630</v>
      </c>
      <c r="D151" s="10">
        <v>1178728.0</v>
      </c>
      <c r="E151" s="6" t="s">
        <v>18</v>
      </c>
      <c r="F151" s="6" t="s">
        <v>631</v>
      </c>
      <c r="G151" s="6" t="s">
        <v>632</v>
      </c>
      <c r="H151" s="6" t="s">
        <v>633</v>
      </c>
      <c r="I151" s="6" t="s">
        <v>634</v>
      </c>
      <c r="J151" s="6" t="s">
        <v>635</v>
      </c>
      <c r="L151" s="6" t="s">
        <v>71</v>
      </c>
      <c r="M151" s="7">
        <v>5980.0</v>
      </c>
      <c r="N151" s="7">
        <v>8716.0</v>
      </c>
      <c r="O151" s="7">
        <v>2180.0</v>
      </c>
      <c r="P151" s="8"/>
    </row>
    <row r="152" ht="14.25" customHeight="1">
      <c r="A152" s="4" t="s">
        <v>636</v>
      </c>
      <c r="B152" s="4" t="s">
        <v>637</v>
      </c>
      <c r="C152" s="4" t="s">
        <v>636</v>
      </c>
      <c r="D152" s="5">
        <v>6483973.0</v>
      </c>
      <c r="E152" s="4" t="s">
        <v>27</v>
      </c>
      <c r="F152" s="4" t="s">
        <v>638</v>
      </c>
      <c r="G152" s="4" t="s">
        <v>639</v>
      </c>
      <c r="L152" s="4" t="s">
        <v>34</v>
      </c>
      <c r="M152" s="7">
        <v>0.0</v>
      </c>
      <c r="N152" s="7">
        <v>0.0</v>
      </c>
      <c r="O152" s="7">
        <v>0.0</v>
      </c>
      <c r="P152" s="8"/>
    </row>
    <row r="153" ht="14.25" customHeight="1">
      <c r="A153" s="6" t="s">
        <v>640</v>
      </c>
      <c r="B153" s="6" t="s">
        <v>641</v>
      </c>
      <c r="C153" s="6" t="s">
        <v>640</v>
      </c>
      <c r="D153" s="10">
        <v>42300.0</v>
      </c>
      <c r="E153" s="6" t="s">
        <v>18</v>
      </c>
      <c r="G153" s="6" t="s">
        <v>642</v>
      </c>
      <c r="H153" s="6" t="s">
        <v>213</v>
      </c>
      <c r="I153" s="6" t="s">
        <v>214</v>
      </c>
      <c r="J153" s="6" t="s">
        <v>643</v>
      </c>
      <c r="L153" s="6" t="s">
        <v>71</v>
      </c>
      <c r="M153" s="7">
        <v>15357.0</v>
      </c>
      <c r="N153" s="7">
        <v>14919.0</v>
      </c>
      <c r="O153" s="7">
        <v>3922.0</v>
      </c>
      <c r="P153" s="8"/>
    </row>
    <row r="154" ht="14.25" customHeight="1">
      <c r="A154" s="4" t="s">
        <v>644</v>
      </c>
      <c r="B154" s="4" t="s">
        <v>645</v>
      </c>
      <c r="C154" s="4" t="s">
        <v>644</v>
      </c>
      <c r="D154" s="5">
        <v>460522.0</v>
      </c>
      <c r="E154" s="4" t="s">
        <v>18</v>
      </c>
      <c r="H154" s="4" t="s">
        <v>70</v>
      </c>
      <c r="I154" s="6" t="s">
        <v>38</v>
      </c>
      <c r="J154" s="4" t="s">
        <v>646</v>
      </c>
      <c r="L154" s="4" t="s">
        <v>39</v>
      </c>
      <c r="M154" s="7">
        <v>408.0</v>
      </c>
      <c r="N154" s="7">
        <v>3242.0</v>
      </c>
      <c r="O154" s="7">
        <v>218.0</v>
      </c>
      <c r="P154" s="8"/>
    </row>
    <row r="155" ht="14.25" customHeight="1">
      <c r="A155" s="4" t="s">
        <v>647</v>
      </c>
      <c r="B155" s="4" t="s">
        <v>648</v>
      </c>
      <c r="C155" s="4" t="s">
        <v>647</v>
      </c>
      <c r="D155" s="5">
        <v>2594765.0</v>
      </c>
      <c r="E155" s="4" t="s">
        <v>18</v>
      </c>
      <c r="F155" s="4" t="s">
        <v>649</v>
      </c>
      <c r="G155" s="4" t="s">
        <v>650</v>
      </c>
      <c r="H155" s="4" t="s">
        <v>106</v>
      </c>
      <c r="I155" s="6" t="s">
        <v>107</v>
      </c>
      <c r="L155" s="4" t="s">
        <v>24</v>
      </c>
      <c r="M155" s="7">
        <v>7797.0</v>
      </c>
      <c r="N155" s="7">
        <v>30650.0</v>
      </c>
      <c r="O155" s="7">
        <v>2114.0</v>
      </c>
      <c r="P155" s="8"/>
    </row>
    <row r="156" ht="14.25" customHeight="1">
      <c r="A156" s="4" t="s">
        <v>651</v>
      </c>
      <c r="B156" s="4" t="s">
        <v>652</v>
      </c>
      <c r="C156" s="4" t="s">
        <v>651</v>
      </c>
      <c r="D156" s="5">
        <v>470201.0</v>
      </c>
      <c r="E156" s="4" t="s">
        <v>18</v>
      </c>
      <c r="H156" s="4" t="s">
        <v>146</v>
      </c>
      <c r="I156" s="6" t="s">
        <v>147</v>
      </c>
      <c r="L156" s="4" t="s">
        <v>24</v>
      </c>
      <c r="M156" s="7">
        <v>0.0</v>
      </c>
      <c r="N156" s="7">
        <v>15362.0</v>
      </c>
      <c r="O156" s="7">
        <v>0.0</v>
      </c>
      <c r="P156" s="8"/>
    </row>
    <row r="157" ht="14.25" customHeight="1">
      <c r="A157" s="4" t="s">
        <v>653</v>
      </c>
      <c r="B157" s="4" t="s">
        <v>654</v>
      </c>
      <c r="C157" s="4" t="s">
        <v>653</v>
      </c>
      <c r="D157" s="5">
        <v>444773.0</v>
      </c>
      <c r="E157" s="4" t="s">
        <v>27</v>
      </c>
      <c r="F157" s="4" t="s">
        <v>32</v>
      </c>
      <c r="G157" s="4" t="s">
        <v>655</v>
      </c>
      <c r="L157" s="4" t="s">
        <v>34</v>
      </c>
      <c r="M157" s="7">
        <v>949.0</v>
      </c>
      <c r="N157" s="7">
        <v>2209.0</v>
      </c>
      <c r="O157" s="7">
        <v>480.0</v>
      </c>
      <c r="P157" s="8"/>
    </row>
    <row r="158" ht="14.25" customHeight="1">
      <c r="A158" s="4" t="s">
        <v>656</v>
      </c>
      <c r="B158" s="4" t="s">
        <v>657</v>
      </c>
      <c r="D158" s="5">
        <v>380840.0</v>
      </c>
      <c r="E158" s="4" t="s">
        <v>27</v>
      </c>
      <c r="F158" s="4" t="s">
        <v>32</v>
      </c>
      <c r="G158" s="4" t="s">
        <v>658</v>
      </c>
      <c r="L158" s="4" t="s">
        <v>34</v>
      </c>
      <c r="M158" s="7">
        <v>973.0</v>
      </c>
      <c r="N158" s="7">
        <v>1.0</v>
      </c>
      <c r="O158" s="7">
        <v>480.0</v>
      </c>
      <c r="P158" s="8"/>
    </row>
    <row r="159" ht="14.25" customHeight="1">
      <c r="A159" s="4" t="s">
        <v>659</v>
      </c>
      <c r="B159" s="4" t="s">
        <v>660</v>
      </c>
      <c r="C159" s="4" t="s">
        <v>659</v>
      </c>
      <c r="D159" s="5">
        <v>2370.0</v>
      </c>
      <c r="E159" s="4" t="s">
        <v>27</v>
      </c>
      <c r="F159" s="4" t="s">
        <v>241</v>
      </c>
      <c r="L159" s="4" t="s">
        <v>242</v>
      </c>
      <c r="M159" s="7">
        <v>9071.0</v>
      </c>
      <c r="N159" s="7">
        <v>8206.0</v>
      </c>
      <c r="O159" s="7">
        <v>2520.0</v>
      </c>
      <c r="P159" s="9" t="s">
        <v>40</v>
      </c>
    </row>
    <row r="160" ht="14.25" customHeight="1">
      <c r="A160" s="4" t="s">
        <v>661</v>
      </c>
      <c r="B160" s="4" t="s">
        <v>662</v>
      </c>
      <c r="D160" s="5">
        <v>26128.0</v>
      </c>
      <c r="E160" s="4" t="s">
        <v>27</v>
      </c>
      <c r="F160" s="4" t="s">
        <v>189</v>
      </c>
      <c r="G160" s="4" t="s">
        <v>663</v>
      </c>
      <c r="L160" s="4" t="s">
        <v>34</v>
      </c>
      <c r="M160" s="7">
        <v>346.0</v>
      </c>
      <c r="N160" s="7">
        <v>578.0</v>
      </c>
      <c r="O160" s="7">
        <v>161.0</v>
      </c>
      <c r="P160" s="8"/>
    </row>
    <row r="161" ht="14.25" customHeight="1">
      <c r="A161" s="4" t="s">
        <v>664</v>
      </c>
      <c r="B161" s="4" t="s">
        <v>665</v>
      </c>
      <c r="C161" s="4" t="s">
        <v>666</v>
      </c>
      <c r="D161" s="5">
        <v>3712700.0</v>
      </c>
      <c r="E161" s="4" t="s">
        <v>18</v>
      </c>
      <c r="H161" s="4" t="s">
        <v>435</v>
      </c>
      <c r="I161" s="6" t="s">
        <v>436</v>
      </c>
      <c r="L161" s="4" t="s">
        <v>24</v>
      </c>
      <c r="M161" s="7">
        <v>3248.0</v>
      </c>
      <c r="N161" s="7">
        <v>541.0</v>
      </c>
      <c r="O161" s="7">
        <v>955.0</v>
      </c>
      <c r="P161" s="8"/>
    </row>
    <row r="162" ht="14.25" customHeight="1">
      <c r="A162" s="4" t="s">
        <v>667</v>
      </c>
      <c r="B162" s="4" t="s">
        <v>668</v>
      </c>
      <c r="C162" s="4" t="s">
        <v>668</v>
      </c>
      <c r="D162" s="5">
        <v>435874.0</v>
      </c>
      <c r="E162" s="4" t="s">
        <v>18</v>
      </c>
      <c r="H162" s="4" t="s">
        <v>669</v>
      </c>
      <c r="I162" s="6" t="s">
        <v>670</v>
      </c>
      <c r="L162" s="4" t="s">
        <v>143</v>
      </c>
      <c r="M162" s="7">
        <v>2124.0</v>
      </c>
      <c r="N162" s="7">
        <v>81579.0</v>
      </c>
      <c r="O162" s="7">
        <v>1396.0</v>
      </c>
      <c r="P162" s="9" t="s">
        <v>40</v>
      </c>
    </row>
    <row r="163" ht="14.25" customHeight="1">
      <c r="A163" s="4" t="s">
        <v>671</v>
      </c>
      <c r="B163" s="4" t="s">
        <v>672</v>
      </c>
      <c r="C163" s="4" t="s">
        <v>671</v>
      </c>
      <c r="D163" s="5">
        <v>5117.0</v>
      </c>
      <c r="E163" s="4" t="s">
        <v>18</v>
      </c>
      <c r="H163" s="4" t="s">
        <v>352</v>
      </c>
      <c r="I163" s="6" t="s">
        <v>353</v>
      </c>
      <c r="L163" s="4" t="s">
        <v>24</v>
      </c>
      <c r="M163" s="7">
        <v>922.0</v>
      </c>
      <c r="N163" s="7">
        <v>428.0</v>
      </c>
      <c r="O163" s="7">
        <v>688.0</v>
      </c>
      <c r="P163" s="9" t="s">
        <v>40</v>
      </c>
    </row>
    <row r="164" ht="14.25" customHeight="1">
      <c r="A164" s="4" t="s">
        <v>673</v>
      </c>
      <c r="B164" s="4" t="s">
        <v>674</v>
      </c>
      <c r="C164" s="4" t="s">
        <v>673</v>
      </c>
      <c r="D164" s="5">
        <v>809554.0</v>
      </c>
      <c r="E164" s="4" t="s">
        <v>27</v>
      </c>
      <c r="F164" s="4" t="s">
        <v>675</v>
      </c>
      <c r="G164" s="4" t="s">
        <v>168</v>
      </c>
      <c r="L164" s="4" t="s">
        <v>34</v>
      </c>
      <c r="M164" s="7">
        <v>67.0</v>
      </c>
      <c r="N164" s="7">
        <v>0.0</v>
      </c>
      <c r="O164" s="7">
        <v>39.0</v>
      </c>
      <c r="P164" s="8"/>
    </row>
    <row r="165" ht="14.25" customHeight="1">
      <c r="A165" s="4" t="s">
        <v>676</v>
      </c>
      <c r="B165" s="4" t="s">
        <v>677</v>
      </c>
      <c r="D165" s="5">
        <v>13200.0</v>
      </c>
      <c r="E165" s="4" t="s">
        <v>18</v>
      </c>
      <c r="H165" s="4" t="s">
        <v>678</v>
      </c>
      <c r="I165" s="6" t="s">
        <v>537</v>
      </c>
      <c r="L165" s="4" t="s">
        <v>65</v>
      </c>
      <c r="M165" s="7">
        <v>2757.0</v>
      </c>
      <c r="N165" s="7">
        <v>541717.0</v>
      </c>
      <c r="O165" s="7">
        <v>1183.0</v>
      </c>
      <c r="P165" s="9" t="s">
        <v>40</v>
      </c>
    </row>
    <row r="166" ht="14.25" customHeight="1">
      <c r="A166" s="4" t="s">
        <v>679</v>
      </c>
      <c r="B166" s="4" t="s">
        <v>680</v>
      </c>
      <c r="C166" s="4" t="s">
        <v>679</v>
      </c>
      <c r="D166" s="5">
        <v>1830353.0</v>
      </c>
      <c r="E166" s="4" t="s">
        <v>43</v>
      </c>
      <c r="F166" s="4" t="s">
        <v>627</v>
      </c>
      <c r="G166" s="4" t="s">
        <v>681</v>
      </c>
      <c r="L166" s="4" t="s">
        <v>34</v>
      </c>
      <c r="M166" s="7">
        <v>181.0</v>
      </c>
      <c r="N166" s="7">
        <v>9.0</v>
      </c>
      <c r="O166" s="7">
        <v>128.0</v>
      </c>
      <c r="P166" s="8"/>
    </row>
    <row r="167" ht="14.25" customHeight="1">
      <c r="A167" s="4" t="s">
        <v>682</v>
      </c>
      <c r="B167" s="4" t="s">
        <v>683</v>
      </c>
      <c r="C167" s="4" t="s">
        <v>682</v>
      </c>
      <c r="D167" s="5">
        <v>2135014.0</v>
      </c>
      <c r="E167" s="4" t="s">
        <v>27</v>
      </c>
      <c r="F167" s="4" t="s">
        <v>507</v>
      </c>
      <c r="G167" s="4" t="s">
        <v>684</v>
      </c>
      <c r="L167" s="4" t="s">
        <v>34</v>
      </c>
      <c r="M167" s="7">
        <v>487.0</v>
      </c>
      <c r="N167" s="7">
        <v>0.0</v>
      </c>
      <c r="O167" s="7">
        <v>328.0</v>
      </c>
      <c r="P167" s="8"/>
    </row>
    <row r="168" ht="14.25" customHeight="1">
      <c r="A168" s="4" t="s">
        <v>685</v>
      </c>
      <c r="B168" s="4" t="s">
        <v>686</v>
      </c>
      <c r="C168" s="4" t="s">
        <v>685</v>
      </c>
      <c r="D168" s="5">
        <v>749001.0</v>
      </c>
      <c r="E168" s="4" t="s">
        <v>18</v>
      </c>
      <c r="H168" s="4" t="s">
        <v>687</v>
      </c>
      <c r="I168" s="6" t="s">
        <v>38</v>
      </c>
      <c r="L168" s="4" t="s">
        <v>24</v>
      </c>
      <c r="M168" s="7">
        <v>1015.0</v>
      </c>
      <c r="N168" s="7">
        <v>51762.0</v>
      </c>
      <c r="O168" s="7">
        <v>653.0</v>
      </c>
      <c r="P168" s="8"/>
    </row>
    <row r="169" ht="14.25" customHeight="1">
      <c r="A169" s="4" t="s">
        <v>688</v>
      </c>
      <c r="B169" s="4" t="s">
        <v>689</v>
      </c>
      <c r="C169" s="4" t="s">
        <v>688</v>
      </c>
      <c r="D169" s="5">
        <v>255091.0</v>
      </c>
      <c r="E169" s="4" t="s">
        <v>18</v>
      </c>
      <c r="L169" s="4" t="s">
        <v>65</v>
      </c>
      <c r="M169" s="7">
        <v>669.0</v>
      </c>
      <c r="N169" s="7">
        <v>6862.0</v>
      </c>
      <c r="O169" s="7">
        <v>447.0</v>
      </c>
      <c r="P169" s="8"/>
    </row>
    <row r="170" ht="14.25" customHeight="1">
      <c r="A170" s="4" t="s">
        <v>690</v>
      </c>
      <c r="B170" s="4" t="s">
        <v>691</v>
      </c>
      <c r="C170" s="4" t="s">
        <v>692</v>
      </c>
      <c r="D170" s="5">
        <v>434504.0</v>
      </c>
      <c r="E170" s="4" t="s">
        <v>27</v>
      </c>
      <c r="F170" s="4" t="s">
        <v>500</v>
      </c>
      <c r="G170" s="4" t="s">
        <v>693</v>
      </c>
      <c r="L170" s="4" t="s">
        <v>34</v>
      </c>
      <c r="M170" s="7">
        <v>5525.0</v>
      </c>
      <c r="N170" s="7">
        <v>32296.0</v>
      </c>
      <c r="O170" s="7">
        <v>1351.0</v>
      </c>
      <c r="P170" s="8"/>
    </row>
    <row r="171" ht="14.25" customHeight="1">
      <c r="A171" s="4" t="s">
        <v>694</v>
      </c>
      <c r="B171" s="4" t="s">
        <v>695</v>
      </c>
      <c r="D171" s="5">
        <v>3786046.0</v>
      </c>
      <c r="E171" s="4" t="s">
        <v>18</v>
      </c>
      <c r="H171" s="4" t="s">
        <v>146</v>
      </c>
      <c r="I171" s="6" t="s">
        <v>147</v>
      </c>
      <c r="L171" s="4" t="s">
        <v>24</v>
      </c>
      <c r="M171" s="7">
        <v>3.0</v>
      </c>
      <c r="N171" s="7">
        <v>3839.0</v>
      </c>
      <c r="O171" s="7">
        <v>3.0</v>
      </c>
      <c r="P171" s="8"/>
    </row>
    <row r="172" ht="14.25" customHeight="1">
      <c r="A172" s="4" t="s">
        <v>696</v>
      </c>
      <c r="B172" s="4" t="s">
        <v>697</v>
      </c>
      <c r="C172" s="4" t="s">
        <v>696</v>
      </c>
      <c r="D172" s="5">
        <v>20600.0</v>
      </c>
      <c r="E172" s="4" t="s">
        <v>18</v>
      </c>
      <c r="H172" s="4" t="s">
        <v>698</v>
      </c>
      <c r="I172" s="6" t="s">
        <v>699</v>
      </c>
      <c r="L172" s="4" t="s">
        <v>24</v>
      </c>
      <c r="M172" s="7">
        <v>39191.0</v>
      </c>
      <c r="N172" s="7">
        <v>130162.0</v>
      </c>
      <c r="O172" s="7">
        <v>2299.0</v>
      </c>
      <c r="P172" s="9" t="s">
        <v>40</v>
      </c>
    </row>
    <row r="173" ht="14.25" customHeight="1">
      <c r="A173" s="4" t="s">
        <v>700</v>
      </c>
      <c r="B173" s="4" t="s">
        <v>701</v>
      </c>
      <c r="C173" s="4" t="s">
        <v>700</v>
      </c>
      <c r="D173" s="5">
        <v>14820.0</v>
      </c>
      <c r="E173" s="4" t="s">
        <v>18</v>
      </c>
      <c r="H173" s="4" t="s">
        <v>702</v>
      </c>
      <c r="I173" s="6" t="s">
        <v>703</v>
      </c>
      <c r="L173" s="4" t="s">
        <v>24</v>
      </c>
      <c r="M173" s="7">
        <v>992.0</v>
      </c>
      <c r="N173" s="7">
        <v>426.0</v>
      </c>
      <c r="O173" s="7">
        <v>447.0</v>
      </c>
      <c r="P173" s="8"/>
    </row>
    <row r="174" ht="14.25" customHeight="1">
      <c r="A174" s="4" t="s">
        <v>704</v>
      </c>
      <c r="B174" s="4" t="s">
        <v>705</v>
      </c>
      <c r="C174" s="4" t="s">
        <v>704</v>
      </c>
      <c r="D174" s="5">
        <v>393083.0</v>
      </c>
      <c r="E174" s="4" t="s">
        <v>27</v>
      </c>
      <c r="F174" s="4" t="s">
        <v>176</v>
      </c>
      <c r="G174" s="4" t="s">
        <v>706</v>
      </c>
      <c r="L174" s="4" t="s">
        <v>34</v>
      </c>
      <c r="M174" s="7">
        <v>276.0</v>
      </c>
      <c r="N174" s="7">
        <v>16.0</v>
      </c>
      <c r="O174" s="7">
        <v>232.0</v>
      </c>
      <c r="P174" s="8"/>
    </row>
    <row r="175" ht="14.25" customHeight="1">
      <c r="A175" s="4" t="s">
        <v>707</v>
      </c>
      <c r="B175" s="4" t="s">
        <v>708</v>
      </c>
      <c r="C175" s="4" t="s">
        <v>709</v>
      </c>
      <c r="D175" s="5">
        <v>470882.0</v>
      </c>
      <c r="E175" s="4" t="s">
        <v>27</v>
      </c>
      <c r="F175" s="4" t="s">
        <v>217</v>
      </c>
      <c r="G175" s="4" t="s">
        <v>343</v>
      </c>
      <c r="L175" s="4" t="s">
        <v>34</v>
      </c>
      <c r="M175" s="7">
        <v>0.0</v>
      </c>
      <c r="N175" s="7">
        <v>214.0</v>
      </c>
      <c r="O175" s="7">
        <v>0.0</v>
      </c>
      <c r="P175" s="8"/>
    </row>
    <row r="176" ht="14.25" customHeight="1">
      <c r="A176" s="4" t="s">
        <v>710</v>
      </c>
      <c r="B176" s="4" t="s">
        <v>711</v>
      </c>
      <c r="C176" s="4" t="s">
        <v>712</v>
      </c>
      <c r="D176" s="5">
        <v>5869275.0</v>
      </c>
      <c r="E176" s="4" t="s">
        <v>18</v>
      </c>
      <c r="H176" s="4" t="s">
        <v>687</v>
      </c>
      <c r="I176" s="6" t="s">
        <v>38</v>
      </c>
      <c r="L176" s="4" t="s">
        <v>24</v>
      </c>
      <c r="M176" s="7">
        <v>0.0</v>
      </c>
      <c r="N176" s="7">
        <v>0.0</v>
      </c>
      <c r="O176" s="7">
        <v>0.0</v>
      </c>
      <c r="P176" s="8"/>
    </row>
    <row r="177" ht="14.25" customHeight="1">
      <c r="A177" s="4" t="s">
        <v>713</v>
      </c>
      <c r="B177" s="4" t="s">
        <v>714</v>
      </c>
      <c r="C177" s="4" t="s">
        <v>713</v>
      </c>
      <c r="D177" s="5">
        <v>1413700.0</v>
      </c>
      <c r="E177" s="4" t="s">
        <v>27</v>
      </c>
      <c r="F177" s="4" t="s">
        <v>130</v>
      </c>
      <c r="G177" s="4" t="s">
        <v>715</v>
      </c>
      <c r="H177" s="6" t="s">
        <v>70</v>
      </c>
      <c r="I177" s="6" t="s">
        <v>38</v>
      </c>
      <c r="J177" s="6" t="s">
        <v>716</v>
      </c>
      <c r="L177" s="4" t="s">
        <v>34</v>
      </c>
      <c r="M177" s="7">
        <v>0.0</v>
      </c>
      <c r="N177" s="7">
        <v>1.0</v>
      </c>
      <c r="O177" s="7">
        <v>0.0</v>
      </c>
      <c r="P177" s="8"/>
    </row>
    <row r="178" ht="14.25" customHeight="1">
      <c r="A178" s="4" t="s">
        <v>717</v>
      </c>
      <c r="B178" s="4" t="s">
        <v>718</v>
      </c>
      <c r="C178" s="4" t="s">
        <v>717</v>
      </c>
      <c r="D178" s="5">
        <v>2765537.0</v>
      </c>
      <c r="E178" s="4" t="s">
        <v>27</v>
      </c>
      <c r="F178" s="4" t="s">
        <v>392</v>
      </c>
      <c r="G178" s="4" t="s">
        <v>388</v>
      </c>
      <c r="L178" s="4" t="s">
        <v>34</v>
      </c>
      <c r="M178" s="7">
        <v>29.0</v>
      </c>
      <c r="N178" s="7">
        <v>0.0</v>
      </c>
      <c r="O178" s="7">
        <v>28.0</v>
      </c>
      <c r="P178" s="8"/>
    </row>
    <row r="179" ht="14.25" customHeight="1">
      <c r="A179" s="4" t="s">
        <v>719</v>
      </c>
      <c r="B179" s="4" t="s">
        <v>720</v>
      </c>
      <c r="C179" s="4" t="s">
        <v>719</v>
      </c>
      <c r="D179" s="5">
        <v>468531.0</v>
      </c>
      <c r="E179" s="4" t="s">
        <v>18</v>
      </c>
      <c r="H179" s="4" t="s">
        <v>721</v>
      </c>
      <c r="I179" s="6" t="s">
        <v>722</v>
      </c>
      <c r="L179" s="4" t="s">
        <v>24</v>
      </c>
      <c r="M179" s="7">
        <v>3571.0</v>
      </c>
      <c r="N179" s="7">
        <v>2675.0</v>
      </c>
      <c r="O179" s="7">
        <v>1328.0</v>
      </c>
      <c r="P179" s="8"/>
    </row>
    <row r="180" ht="14.25" customHeight="1">
      <c r="A180" s="4" t="s">
        <v>723</v>
      </c>
      <c r="B180" s="4" t="s">
        <v>724</v>
      </c>
      <c r="C180" s="4" t="s">
        <v>723</v>
      </c>
      <c r="D180" s="5">
        <v>3430690.0</v>
      </c>
      <c r="E180" s="4" t="s">
        <v>18</v>
      </c>
      <c r="H180" s="6" t="s">
        <v>70</v>
      </c>
      <c r="I180" s="6" t="s">
        <v>38</v>
      </c>
      <c r="L180" s="4" t="s">
        <v>24</v>
      </c>
      <c r="M180" s="7">
        <v>442.0</v>
      </c>
      <c r="N180" s="7">
        <v>18.0</v>
      </c>
      <c r="O180" s="7">
        <v>366.0</v>
      </c>
      <c r="P180" s="8"/>
    </row>
    <row r="181" ht="14.25" customHeight="1">
      <c r="A181" s="4" t="s">
        <v>725</v>
      </c>
      <c r="B181" s="4" t="s">
        <v>726</v>
      </c>
      <c r="C181" s="4" t="s">
        <v>725</v>
      </c>
      <c r="D181" s="5">
        <v>240807.0</v>
      </c>
      <c r="E181" s="4" t="s">
        <v>27</v>
      </c>
      <c r="F181" s="4" t="s">
        <v>356</v>
      </c>
      <c r="G181" s="4" t="s">
        <v>727</v>
      </c>
      <c r="H181" s="4" t="s">
        <v>310</v>
      </c>
      <c r="I181" s="6" t="s">
        <v>22</v>
      </c>
      <c r="K181" s="6" t="s">
        <v>728</v>
      </c>
      <c r="L181" s="4" t="s">
        <v>39</v>
      </c>
      <c r="M181" s="7">
        <v>549.0</v>
      </c>
      <c r="N181" s="7">
        <v>11138.0</v>
      </c>
      <c r="O181" s="7">
        <v>300.0</v>
      </c>
      <c r="P181" s="8"/>
    </row>
    <row r="182" ht="14.25" customHeight="1">
      <c r="A182" s="4" t="s">
        <v>729</v>
      </c>
      <c r="B182" s="6" t="s">
        <v>730</v>
      </c>
      <c r="C182" s="6" t="s">
        <v>731</v>
      </c>
      <c r="D182" s="10">
        <v>1421614.0</v>
      </c>
      <c r="E182" s="4" t="s">
        <v>18</v>
      </c>
      <c r="F182" s="6" t="s">
        <v>732</v>
      </c>
      <c r="G182" s="6" t="s">
        <v>733</v>
      </c>
      <c r="H182" s="4" t="s">
        <v>435</v>
      </c>
      <c r="I182" s="6" t="s">
        <v>436</v>
      </c>
      <c r="J182" s="6" t="s">
        <v>734</v>
      </c>
      <c r="L182" s="4" t="s">
        <v>24</v>
      </c>
      <c r="M182" s="7">
        <v>7164.0</v>
      </c>
      <c r="N182" s="7">
        <v>2465.0</v>
      </c>
      <c r="O182" s="7">
        <v>2152.0</v>
      </c>
      <c r="P182" s="9" t="s">
        <v>40</v>
      </c>
    </row>
    <row r="183" ht="14.25" customHeight="1">
      <c r="A183" s="4" t="s">
        <v>735</v>
      </c>
      <c r="B183" s="4" t="s">
        <v>736</v>
      </c>
      <c r="C183" s="4" t="s">
        <v>735</v>
      </c>
      <c r="D183" s="5">
        <v>479031.0</v>
      </c>
      <c r="E183" s="4" t="s">
        <v>18</v>
      </c>
      <c r="H183" s="4" t="s">
        <v>737</v>
      </c>
      <c r="I183" s="6" t="s">
        <v>63</v>
      </c>
      <c r="L183" s="4" t="s">
        <v>24</v>
      </c>
      <c r="M183" s="7">
        <v>74896.0</v>
      </c>
      <c r="N183" s="7">
        <v>38817.0</v>
      </c>
      <c r="O183" s="7">
        <v>6570.0</v>
      </c>
      <c r="P183" s="8"/>
    </row>
    <row r="184" ht="14.25" customHeight="1">
      <c r="A184" s="4" t="s">
        <v>738</v>
      </c>
      <c r="B184" s="4" t="s">
        <v>739</v>
      </c>
      <c r="C184" s="4" t="s">
        <v>740</v>
      </c>
      <c r="D184" s="5">
        <v>1463237.0</v>
      </c>
      <c r="E184" s="4" t="s">
        <v>18</v>
      </c>
      <c r="H184" s="4" t="s">
        <v>741</v>
      </c>
      <c r="I184" s="6" t="s">
        <v>742</v>
      </c>
      <c r="L184" s="4" t="s">
        <v>39</v>
      </c>
      <c r="M184" s="7">
        <v>107.0</v>
      </c>
      <c r="N184" s="7">
        <v>47688.0</v>
      </c>
      <c r="O184" s="7">
        <v>85.0</v>
      </c>
      <c r="P184" s="8"/>
    </row>
    <row r="185" ht="14.25" customHeight="1">
      <c r="A185" s="4" t="s">
        <v>743</v>
      </c>
      <c r="B185" s="4" t="s">
        <v>744</v>
      </c>
      <c r="C185" s="4" t="s">
        <v>745</v>
      </c>
      <c r="D185" s="5">
        <v>92826.0</v>
      </c>
      <c r="E185" s="4" t="s">
        <v>18</v>
      </c>
      <c r="F185" s="4" t="s">
        <v>746</v>
      </c>
      <c r="G185" s="4" t="s">
        <v>98</v>
      </c>
      <c r="H185" s="4" t="s">
        <v>747</v>
      </c>
      <c r="I185" s="6" t="s">
        <v>63</v>
      </c>
      <c r="L185" s="4" t="s">
        <v>24</v>
      </c>
      <c r="M185" s="7">
        <v>4344.0</v>
      </c>
      <c r="N185" s="7">
        <v>1044.0</v>
      </c>
      <c r="O185" s="7">
        <v>2278.0</v>
      </c>
      <c r="P185" s="8"/>
    </row>
    <row r="186" ht="14.25" customHeight="1">
      <c r="A186" s="4" t="s">
        <v>748</v>
      </c>
      <c r="B186" s="4" t="s">
        <v>749</v>
      </c>
      <c r="C186" s="4" t="s">
        <v>750</v>
      </c>
      <c r="D186" s="5">
        <v>755672.0</v>
      </c>
      <c r="E186" s="4" t="s">
        <v>18</v>
      </c>
      <c r="H186" s="4" t="s">
        <v>751</v>
      </c>
      <c r="I186" s="6" t="s">
        <v>63</v>
      </c>
      <c r="L186" s="4" t="s">
        <v>65</v>
      </c>
      <c r="M186" s="7">
        <v>6853.0</v>
      </c>
      <c r="N186" s="7">
        <v>90839.0</v>
      </c>
      <c r="O186" s="7">
        <v>1380.0</v>
      </c>
      <c r="P186" s="9" t="s">
        <v>40</v>
      </c>
    </row>
    <row r="187" ht="14.25" customHeight="1">
      <c r="A187" s="4" t="s">
        <v>752</v>
      </c>
      <c r="B187" s="4" t="s">
        <v>753</v>
      </c>
      <c r="D187" s="5">
        <v>754192.0</v>
      </c>
      <c r="E187" s="4" t="s">
        <v>18</v>
      </c>
      <c r="H187" s="4" t="s">
        <v>754</v>
      </c>
      <c r="I187" s="6" t="s">
        <v>755</v>
      </c>
      <c r="L187" s="4" t="s">
        <v>24</v>
      </c>
      <c r="M187" s="7">
        <v>1958.0</v>
      </c>
      <c r="N187" s="7">
        <v>7103.0</v>
      </c>
      <c r="O187" s="7">
        <v>654.0</v>
      </c>
      <c r="P187" s="8"/>
    </row>
    <row r="188" ht="14.25" customHeight="1">
      <c r="A188" s="4" t="s">
        <v>756</v>
      </c>
      <c r="B188" s="4" t="s">
        <v>757</v>
      </c>
      <c r="C188" s="4" t="s">
        <v>756</v>
      </c>
      <c r="D188" s="5">
        <v>104035.0</v>
      </c>
      <c r="E188" s="4" t="s">
        <v>27</v>
      </c>
      <c r="F188" s="4" t="s">
        <v>627</v>
      </c>
      <c r="G188" s="4" t="s">
        <v>758</v>
      </c>
      <c r="L188" s="4" t="s">
        <v>34</v>
      </c>
      <c r="M188" s="7">
        <v>108.0</v>
      </c>
      <c r="N188" s="7">
        <v>3.0</v>
      </c>
      <c r="O188" s="7">
        <v>57.0</v>
      </c>
      <c r="P188" s="8"/>
    </row>
    <row r="189" ht="14.25" customHeight="1">
      <c r="A189" s="4" t="s">
        <v>759</v>
      </c>
      <c r="B189" s="4" t="s">
        <v>760</v>
      </c>
      <c r="C189" s="4" t="s">
        <v>759</v>
      </c>
      <c r="D189" s="5">
        <v>17735.0</v>
      </c>
      <c r="E189" s="4" t="s">
        <v>18</v>
      </c>
      <c r="H189" s="4" t="s">
        <v>761</v>
      </c>
      <c r="I189" s="6" t="s">
        <v>762</v>
      </c>
      <c r="L189" s="4" t="s">
        <v>378</v>
      </c>
      <c r="M189" s="7">
        <v>460.0</v>
      </c>
      <c r="N189" s="7">
        <v>5744.0</v>
      </c>
      <c r="O189" s="7">
        <v>287.0</v>
      </c>
      <c r="P189" s="8"/>
    </row>
    <row r="190" ht="14.25" customHeight="1">
      <c r="A190" s="6" t="s">
        <v>763</v>
      </c>
      <c r="B190" s="6" t="s">
        <v>764</v>
      </c>
      <c r="C190" s="6" t="s">
        <v>763</v>
      </c>
      <c r="D190" s="10">
        <v>8345.0</v>
      </c>
      <c r="E190" s="6" t="s">
        <v>18</v>
      </c>
      <c r="F190" s="6" t="s">
        <v>765</v>
      </c>
      <c r="G190" s="6" t="s">
        <v>766</v>
      </c>
      <c r="H190" s="6" t="s">
        <v>767</v>
      </c>
      <c r="I190" s="6" t="s">
        <v>768</v>
      </c>
      <c r="L190" s="6" t="s">
        <v>71</v>
      </c>
      <c r="M190" s="7">
        <v>71.0</v>
      </c>
      <c r="N190" s="7">
        <v>34744.0</v>
      </c>
      <c r="O190" s="7">
        <v>69.0</v>
      </c>
      <c r="P190" s="8"/>
    </row>
    <row r="191" ht="14.25" customHeight="1">
      <c r="A191" s="4" t="s">
        <v>769</v>
      </c>
      <c r="B191" s="4" t="s">
        <v>770</v>
      </c>
      <c r="C191" s="4" t="s">
        <v>769</v>
      </c>
      <c r="D191" s="5">
        <v>381998.0</v>
      </c>
      <c r="E191" s="4" t="s">
        <v>18</v>
      </c>
      <c r="H191" s="4" t="s">
        <v>771</v>
      </c>
      <c r="I191" s="6" t="s">
        <v>772</v>
      </c>
      <c r="L191" s="4" t="s">
        <v>65</v>
      </c>
      <c r="M191" s="7">
        <v>3717.0</v>
      </c>
      <c r="N191" s="7">
        <v>40978.0</v>
      </c>
      <c r="O191" s="7">
        <v>1507.0</v>
      </c>
      <c r="P191" s="8"/>
    </row>
    <row r="192" ht="14.25" customHeight="1">
      <c r="A192" s="6" t="s">
        <v>773</v>
      </c>
      <c r="B192" s="6" t="s">
        <v>774</v>
      </c>
      <c r="C192" s="6" t="s">
        <v>773</v>
      </c>
      <c r="D192" s="10">
        <v>109199.0</v>
      </c>
      <c r="E192" s="6" t="s">
        <v>18</v>
      </c>
      <c r="F192" s="6" t="s">
        <v>775</v>
      </c>
      <c r="G192" s="6" t="s">
        <v>776</v>
      </c>
      <c r="H192" s="6" t="s">
        <v>70</v>
      </c>
      <c r="I192" s="6" t="s">
        <v>38</v>
      </c>
      <c r="K192" s="6" t="s">
        <v>777</v>
      </c>
      <c r="L192" s="6" t="s">
        <v>71</v>
      </c>
      <c r="M192" s="7">
        <v>11714.0</v>
      </c>
      <c r="N192" s="7">
        <v>16027.0</v>
      </c>
      <c r="O192" s="7">
        <v>2403.0</v>
      </c>
      <c r="P192" s="9" t="s">
        <v>40</v>
      </c>
    </row>
    <row r="193" ht="14.25" customHeight="1">
      <c r="A193" s="4" t="s">
        <v>778</v>
      </c>
      <c r="B193" s="4" t="s">
        <v>779</v>
      </c>
      <c r="C193" s="4" t="s">
        <v>778</v>
      </c>
      <c r="D193" s="5">
        <v>470598.0</v>
      </c>
      <c r="E193" s="4" t="s">
        <v>27</v>
      </c>
      <c r="F193" s="4" t="s">
        <v>250</v>
      </c>
      <c r="G193" s="4" t="s">
        <v>168</v>
      </c>
      <c r="H193" s="6" t="s">
        <v>70</v>
      </c>
      <c r="I193" s="6" t="s">
        <v>38</v>
      </c>
      <c r="J193" s="6" t="s">
        <v>780</v>
      </c>
      <c r="L193" s="4" t="s">
        <v>34</v>
      </c>
      <c r="M193" s="7">
        <v>526.0</v>
      </c>
      <c r="N193" s="7">
        <v>214.0</v>
      </c>
      <c r="O193" s="7">
        <v>408.0</v>
      </c>
      <c r="P193" s="8"/>
    </row>
    <row r="194" ht="14.25" customHeight="1">
      <c r="A194" s="4" t="s">
        <v>781</v>
      </c>
      <c r="B194" s="4" t="s">
        <v>782</v>
      </c>
      <c r="C194" s="4" t="s">
        <v>781</v>
      </c>
      <c r="D194" s="5">
        <v>1543773.0</v>
      </c>
      <c r="E194" s="4" t="s">
        <v>27</v>
      </c>
      <c r="F194" s="4" t="s">
        <v>217</v>
      </c>
      <c r="G194" s="4" t="s">
        <v>783</v>
      </c>
      <c r="L194" s="4" t="s">
        <v>34</v>
      </c>
      <c r="M194" s="7">
        <v>101.0</v>
      </c>
      <c r="N194" s="7">
        <v>42.0</v>
      </c>
      <c r="O194" s="7">
        <v>80.0</v>
      </c>
      <c r="P194" s="8"/>
    </row>
    <row r="195" ht="14.25" customHeight="1">
      <c r="A195" s="4" t="s">
        <v>784</v>
      </c>
      <c r="B195" s="4" t="s">
        <v>785</v>
      </c>
      <c r="D195" s="5">
        <v>43258.0</v>
      </c>
      <c r="E195" s="4" t="s">
        <v>27</v>
      </c>
      <c r="F195" s="4" t="s">
        <v>392</v>
      </c>
      <c r="L195" s="4" t="s">
        <v>29</v>
      </c>
      <c r="M195" s="7">
        <v>88.0</v>
      </c>
      <c r="N195" s="7">
        <v>78.0</v>
      </c>
      <c r="O195" s="7">
        <v>74.0</v>
      </c>
      <c r="P195" s="8"/>
    </row>
    <row r="196" ht="14.25" customHeight="1">
      <c r="A196" s="4" t="s">
        <v>786</v>
      </c>
      <c r="B196" s="4" t="s">
        <v>787</v>
      </c>
      <c r="C196" s="4" t="s">
        <v>786</v>
      </c>
      <c r="D196" s="5">
        <v>107941.0</v>
      </c>
      <c r="E196" s="4" t="s">
        <v>18</v>
      </c>
      <c r="H196" s="4" t="s">
        <v>595</v>
      </c>
      <c r="I196" s="6" t="s">
        <v>113</v>
      </c>
      <c r="L196" s="4" t="s">
        <v>24</v>
      </c>
      <c r="M196" s="7">
        <v>158.0</v>
      </c>
      <c r="N196" s="7">
        <v>105.0</v>
      </c>
      <c r="O196" s="7">
        <v>116.0</v>
      </c>
      <c r="P196" s="8"/>
    </row>
    <row r="197" ht="14.25" customHeight="1">
      <c r="A197" s="4" t="s">
        <v>788</v>
      </c>
      <c r="B197" s="4" t="s">
        <v>789</v>
      </c>
      <c r="D197" s="5">
        <v>502404.0</v>
      </c>
      <c r="E197" s="4" t="s">
        <v>18</v>
      </c>
      <c r="H197" s="4" t="s">
        <v>182</v>
      </c>
      <c r="I197" s="6" t="s">
        <v>126</v>
      </c>
      <c r="L197" s="4" t="s">
        <v>24</v>
      </c>
      <c r="M197" s="7">
        <v>11569.0</v>
      </c>
      <c r="N197" s="7">
        <v>5062.0</v>
      </c>
      <c r="O197" s="7">
        <v>2950.0</v>
      </c>
      <c r="P197" s="8"/>
    </row>
    <row r="198" ht="14.25" customHeight="1">
      <c r="A198" s="4" t="s">
        <v>790</v>
      </c>
      <c r="B198" s="4" t="s">
        <v>791</v>
      </c>
      <c r="D198" s="5">
        <v>178618.0</v>
      </c>
      <c r="E198" s="4" t="s">
        <v>18</v>
      </c>
      <c r="F198" s="4" t="s">
        <v>792</v>
      </c>
      <c r="G198" s="4" t="s">
        <v>793</v>
      </c>
      <c r="H198" s="4" t="s">
        <v>193</v>
      </c>
      <c r="I198" s="6" t="s">
        <v>63</v>
      </c>
      <c r="L198" s="4" t="s">
        <v>65</v>
      </c>
      <c r="M198" s="7">
        <v>27.0</v>
      </c>
      <c r="N198" s="7">
        <v>157.0</v>
      </c>
      <c r="O198" s="7">
        <v>16.0</v>
      </c>
      <c r="P198" s="8"/>
    </row>
    <row r="199" ht="14.25" customHeight="1">
      <c r="A199" s="6" t="s">
        <v>794</v>
      </c>
      <c r="B199" s="6" t="s">
        <v>795</v>
      </c>
      <c r="D199" s="10">
        <v>6376649.0</v>
      </c>
      <c r="E199" s="6" t="s">
        <v>18</v>
      </c>
      <c r="H199" s="6" t="s">
        <v>70</v>
      </c>
      <c r="I199" s="6" t="s">
        <v>38</v>
      </c>
      <c r="L199" s="6" t="s">
        <v>71</v>
      </c>
      <c r="M199" s="7">
        <v>20.0</v>
      </c>
      <c r="N199" s="7">
        <v>1.0</v>
      </c>
      <c r="O199" s="7">
        <v>16.0</v>
      </c>
      <c r="P199" s="11"/>
    </row>
    <row r="200" ht="14.25" customHeight="1">
      <c r="A200" s="4" t="s">
        <v>796</v>
      </c>
      <c r="B200" s="4" t="s">
        <v>797</v>
      </c>
      <c r="C200" s="4" t="s">
        <v>796</v>
      </c>
      <c r="D200" s="5">
        <v>730163.0</v>
      </c>
      <c r="E200" s="4" t="s">
        <v>18</v>
      </c>
      <c r="H200" s="4" t="s">
        <v>50</v>
      </c>
      <c r="I200" s="6" t="s">
        <v>51</v>
      </c>
      <c r="L200" s="4" t="s">
        <v>24</v>
      </c>
      <c r="M200" s="7">
        <v>2326.0</v>
      </c>
      <c r="N200" s="7">
        <v>102.0</v>
      </c>
      <c r="O200" s="7">
        <v>863.0</v>
      </c>
      <c r="P200" s="8"/>
    </row>
    <row r="201" ht="14.25" customHeight="1">
      <c r="A201" s="6" t="s">
        <v>798</v>
      </c>
      <c r="B201" s="6" t="s">
        <v>799</v>
      </c>
      <c r="C201" s="6" t="s">
        <v>798</v>
      </c>
      <c r="D201" s="10">
        <v>3265517.0</v>
      </c>
      <c r="E201" s="6" t="s">
        <v>18</v>
      </c>
      <c r="F201" s="6" t="s">
        <v>800</v>
      </c>
      <c r="G201" s="6" t="s">
        <v>801</v>
      </c>
      <c r="H201" s="6" t="s">
        <v>70</v>
      </c>
      <c r="I201" s="6" t="s">
        <v>38</v>
      </c>
      <c r="J201" s="6" t="s">
        <v>802</v>
      </c>
      <c r="L201" s="6" t="s">
        <v>71</v>
      </c>
      <c r="M201" s="7">
        <v>202.0</v>
      </c>
      <c r="N201" s="7">
        <v>110.0</v>
      </c>
      <c r="O201" s="7">
        <v>184.0</v>
      </c>
      <c r="P201" s="8"/>
    </row>
    <row r="202" ht="14.25" customHeight="1">
      <c r="A202" s="4" t="s">
        <v>803</v>
      </c>
      <c r="B202" s="4" t="s">
        <v>804</v>
      </c>
      <c r="C202" s="4" t="s">
        <v>803</v>
      </c>
      <c r="D202" s="5">
        <v>2118269.0</v>
      </c>
      <c r="E202" s="4" t="s">
        <v>18</v>
      </c>
      <c r="F202" s="4" t="s">
        <v>805</v>
      </c>
      <c r="G202" s="4" t="s">
        <v>168</v>
      </c>
      <c r="H202" s="4" t="s">
        <v>213</v>
      </c>
      <c r="I202" s="6" t="s">
        <v>214</v>
      </c>
      <c r="L202" s="4" t="s">
        <v>65</v>
      </c>
      <c r="M202" s="7">
        <v>1427.0</v>
      </c>
      <c r="N202" s="7">
        <v>27506.0</v>
      </c>
      <c r="O202" s="7">
        <v>1343.0</v>
      </c>
      <c r="P202" s="8"/>
    </row>
    <row r="203" ht="14.25" customHeight="1">
      <c r="A203" s="4" t="s">
        <v>806</v>
      </c>
      <c r="B203" s="4" t="s">
        <v>807</v>
      </c>
      <c r="C203" s="4" t="s">
        <v>806</v>
      </c>
      <c r="D203" s="5">
        <v>559158.0</v>
      </c>
      <c r="E203" s="4" t="s">
        <v>18</v>
      </c>
      <c r="G203" s="4" t="s">
        <v>808</v>
      </c>
      <c r="H203" s="4" t="s">
        <v>809</v>
      </c>
      <c r="I203" s="6" t="s">
        <v>397</v>
      </c>
      <c r="L203" s="4" t="s">
        <v>39</v>
      </c>
      <c r="M203" s="7">
        <v>398.0</v>
      </c>
      <c r="N203" s="7">
        <v>23799.0</v>
      </c>
      <c r="O203" s="7">
        <v>294.0</v>
      </c>
      <c r="P203" s="8"/>
    </row>
    <row r="204" ht="14.25" customHeight="1">
      <c r="A204" s="4" t="s">
        <v>810</v>
      </c>
      <c r="B204" s="4" t="s">
        <v>811</v>
      </c>
      <c r="C204" s="4" t="s">
        <v>810</v>
      </c>
      <c r="D204" s="5">
        <v>961426.0</v>
      </c>
      <c r="E204" s="4" t="s">
        <v>18</v>
      </c>
      <c r="H204" s="4" t="s">
        <v>812</v>
      </c>
      <c r="I204" s="6" t="s">
        <v>353</v>
      </c>
      <c r="L204" s="4" t="s">
        <v>65</v>
      </c>
      <c r="M204" s="7">
        <v>158.0</v>
      </c>
      <c r="N204" s="7">
        <v>10051.0</v>
      </c>
      <c r="O204" s="7">
        <v>139.0</v>
      </c>
      <c r="P204" s="11"/>
    </row>
    <row r="205" ht="14.25" customHeight="1">
      <c r="A205" s="4" t="s">
        <v>813</v>
      </c>
      <c r="B205" s="4" t="s">
        <v>814</v>
      </c>
      <c r="D205" s="5">
        <v>3021180.0</v>
      </c>
      <c r="E205" s="4" t="s">
        <v>18</v>
      </c>
      <c r="H205" s="4" t="s">
        <v>511</v>
      </c>
      <c r="I205" s="6" t="s">
        <v>512</v>
      </c>
      <c r="J205" s="4" t="s">
        <v>815</v>
      </c>
      <c r="L205" s="4" t="s">
        <v>65</v>
      </c>
      <c r="M205" s="7">
        <v>66.0</v>
      </c>
      <c r="N205" s="7">
        <v>43.0</v>
      </c>
      <c r="O205" s="7">
        <v>60.0</v>
      </c>
      <c r="P205" s="8"/>
    </row>
    <row r="206" ht="14.25" customHeight="1">
      <c r="A206" s="4" t="s">
        <v>816</v>
      </c>
      <c r="B206" s="4" t="s">
        <v>817</v>
      </c>
      <c r="C206" s="4" t="s">
        <v>818</v>
      </c>
      <c r="D206" s="5">
        <v>2048508.0</v>
      </c>
      <c r="E206" s="4" t="s">
        <v>18</v>
      </c>
      <c r="H206" s="4" t="s">
        <v>106</v>
      </c>
      <c r="I206" s="6" t="s">
        <v>107</v>
      </c>
      <c r="L206" s="4" t="s">
        <v>24</v>
      </c>
      <c r="M206" s="7">
        <v>177.0</v>
      </c>
      <c r="N206" s="7">
        <v>1860.0</v>
      </c>
      <c r="O206" s="7">
        <v>56.0</v>
      </c>
      <c r="P206" s="8"/>
    </row>
    <row r="207" ht="14.25" customHeight="1">
      <c r="A207" s="4" t="s">
        <v>819</v>
      </c>
      <c r="B207" s="4" t="s">
        <v>820</v>
      </c>
      <c r="C207" s="4" t="s">
        <v>819</v>
      </c>
      <c r="D207" s="5">
        <v>219177.0</v>
      </c>
      <c r="E207" s="4" t="s">
        <v>18</v>
      </c>
      <c r="J207" s="4" t="s">
        <v>821</v>
      </c>
      <c r="L207" s="4" t="s">
        <v>65</v>
      </c>
      <c r="M207" s="7">
        <v>8141.0</v>
      </c>
      <c r="N207" s="7">
        <v>5535.0</v>
      </c>
      <c r="O207" s="7">
        <v>2326.0</v>
      </c>
      <c r="P207" s="8"/>
    </row>
    <row r="208" ht="14.25" customHeight="1">
      <c r="A208" s="4" t="s">
        <v>822</v>
      </c>
      <c r="B208" s="4" t="s">
        <v>823</v>
      </c>
      <c r="C208" s="4" t="s">
        <v>824</v>
      </c>
      <c r="D208" s="5">
        <v>11861.0</v>
      </c>
      <c r="E208" s="4" t="s">
        <v>18</v>
      </c>
      <c r="H208" s="4" t="s">
        <v>825</v>
      </c>
      <c r="I208" s="6" t="s">
        <v>294</v>
      </c>
      <c r="L208" s="4" t="s">
        <v>39</v>
      </c>
      <c r="M208" s="7">
        <v>7113.0</v>
      </c>
      <c r="N208" s="7">
        <v>90640.0</v>
      </c>
      <c r="O208" s="7">
        <v>1990.0</v>
      </c>
      <c r="P208" s="8"/>
    </row>
    <row r="209" ht="14.25" customHeight="1">
      <c r="A209" s="6" t="s">
        <v>826</v>
      </c>
      <c r="B209" s="6" t="s">
        <v>827</v>
      </c>
      <c r="C209" s="6" t="s">
        <v>826</v>
      </c>
      <c r="D209" s="10">
        <v>1184638.0</v>
      </c>
      <c r="E209" s="6" t="s">
        <v>18</v>
      </c>
      <c r="F209" s="6" t="s">
        <v>828</v>
      </c>
      <c r="G209" s="6" t="s">
        <v>168</v>
      </c>
      <c r="H209" s="6" t="s">
        <v>70</v>
      </c>
      <c r="I209" s="6" t="s">
        <v>38</v>
      </c>
      <c r="J209" s="6" t="s">
        <v>829</v>
      </c>
      <c r="L209" s="6" t="s">
        <v>71</v>
      </c>
      <c r="M209" s="7">
        <v>11507.0</v>
      </c>
      <c r="N209" s="7">
        <v>24048.0</v>
      </c>
      <c r="O209" s="7">
        <v>3765.0</v>
      </c>
      <c r="P209" s="9" t="s">
        <v>40</v>
      </c>
    </row>
    <row r="210" ht="14.25" customHeight="1">
      <c r="A210" s="4" t="s">
        <v>830</v>
      </c>
      <c r="B210" s="4" t="s">
        <v>831</v>
      </c>
      <c r="C210" s="4" t="s">
        <v>830</v>
      </c>
      <c r="D210" s="5">
        <v>2748657.0</v>
      </c>
      <c r="E210" s="4" t="s">
        <v>27</v>
      </c>
      <c r="F210" s="4" t="s">
        <v>423</v>
      </c>
      <c r="G210" s="4" t="s">
        <v>832</v>
      </c>
      <c r="L210" s="4" t="s">
        <v>34</v>
      </c>
      <c r="M210" s="7">
        <v>9374.0</v>
      </c>
      <c r="N210" s="7">
        <v>147.0</v>
      </c>
      <c r="O210" s="7">
        <v>2141.0</v>
      </c>
      <c r="P210" s="8"/>
    </row>
    <row r="211" ht="14.25" customHeight="1">
      <c r="A211" s="4" t="s">
        <v>833</v>
      </c>
      <c r="B211" s="4" t="s">
        <v>834</v>
      </c>
      <c r="C211" s="4" t="s">
        <v>833</v>
      </c>
      <c r="D211" s="5">
        <v>1523129.0</v>
      </c>
      <c r="E211" s="4" t="s">
        <v>27</v>
      </c>
      <c r="F211" s="4" t="s">
        <v>305</v>
      </c>
      <c r="G211" s="4" t="s">
        <v>835</v>
      </c>
      <c r="L211" s="4" t="s">
        <v>34</v>
      </c>
      <c r="M211" s="7">
        <v>10.0</v>
      </c>
      <c r="N211" s="7">
        <v>5.0</v>
      </c>
      <c r="O211" s="7">
        <v>10.0</v>
      </c>
      <c r="P211" s="8"/>
    </row>
    <row r="212" ht="14.25" customHeight="1">
      <c r="A212" s="4" t="s">
        <v>836</v>
      </c>
      <c r="B212" s="4" t="s">
        <v>837</v>
      </c>
      <c r="C212" s="4" t="s">
        <v>836</v>
      </c>
      <c r="D212" s="5">
        <v>1157357.0</v>
      </c>
      <c r="E212" s="4" t="s">
        <v>18</v>
      </c>
      <c r="H212" s="4" t="s">
        <v>838</v>
      </c>
      <c r="I212" s="6" t="s">
        <v>839</v>
      </c>
      <c r="L212" s="4" t="s">
        <v>24</v>
      </c>
      <c r="M212" s="7">
        <v>2707.0</v>
      </c>
      <c r="N212" s="7">
        <v>1892.0</v>
      </c>
      <c r="O212" s="7">
        <v>1133.0</v>
      </c>
      <c r="P212" s="8"/>
    </row>
    <row r="213" ht="14.25" customHeight="1">
      <c r="A213" s="4" t="s">
        <v>840</v>
      </c>
      <c r="B213" s="4" t="s">
        <v>841</v>
      </c>
      <c r="C213" s="4" t="s">
        <v>840</v>
      </c>
      <c r="D213" s="5">
        <v>986045.0</v>
      </c>
      <c r="E213" s="4" t="s">
        <v>27</v>
      </c>
      <c r="F213" s="4" t="s">
        <v>842</v>
      </c>
      <c r="G213" s="4" t="s">
        <v>776</v>
      </c>
      <c r="L213" s="4" t="s">
        <v>34</v>
      </c>
      <c r="M213" s="7">
        <v>389.0</v>
      </c>
      <c r="N213" s="7">
        <v>68.0</v>
      </c>
      <c r="O213" s="7">
        <v>315.0</v>
      </c>
      <c r="P213" s="8"/>
    </row>
    <row r="214" ht="14.25" customHeight="1">
      <c r="A214" s="4" t="s">
        <v>843</v>
      </c>
      <c r="B214" s="4" t="s">
        <v>844</v>
      </c>
      <c r="C214" s="4" t="s">
        <v>843</v>
      </c>
      <c r="D214" s="5">
        <v>617284.0</v>
      </c>
      <c r="E214" s="4" t="s">
        <v>18</v>
      </c>
      <c r="J214" s="4" t="s">
        <v>821</v>
      </c>
      <c r="L214" s="4" t="s">
        <v>65</v>
      </c>
      <c r="M214" s="7">
        <v>895.0</v>
      </c>
      <c r="N214" s="7">
        <v>335.0</v>
      </c>
      <c r="O214" s="7">
        <v>682.0</v>
      </c>
      <c r="P214" s="8"/>
    </row>
    <row r="215" ht="14.25" customHeight="1">
      <c r="A215" s="4" t="s">
        <v>845</v>
      </c>
      <c r="B215" s="4" t="s">
        <v>846</v>
      </c>
      <c r="C215" s="4" t="s">
        <v>845</v>
      </c>
      <c r="D215" s="5">
        <v>4351.0</v>
      </c>
      <c r="E215" s="4" t="s">
        <v>27</v>
      </c>
      <c r="F215" s="4" t="s">
        <v>123</v>
      </c>
      <c r="G215" s="4" t="s">
        <v>847</v>
      </c>
      <c r="L215" s="4" t="s">
        <v>34</v>
      </c>
      <c r="M215" s="7">
        <v>6818.0</v>
      </c>
      <c r="N215" s="7">
        <v>446.0</v>
      </c>
      <c r="O215" s="7">
        <v>2120.0</v>
      </c>
      <c r="P215" s="8"/>
    </row>
    <row r="216" ht="14.25" customHeight="1">
      <c r="A216" s="4" t="s">
        <v>848</v>
      </c>
      <c r="B216" s="4" t="s">
        <v>849</v>
      </c>
      <c r="C216" s="4" t="s">
        <v>848</v>
      </c>
      <c r="D216" s="5">
        <v>198686.0</v>
      </c>
      <c r="E216" s="4" t="s">
        <v>18</v>
      </c>
      <c r="H216" s="4" t="s">
        <v>352</v>
      </c>
      <c r="I216" s="6" t="s">
        <v>353</v>
      </c>
      <c r="L216" s="4" t="s">
        <v>24</v>
      </c>
      <c r="M216" s="7">
        <v>8285.0</v>
      </c>
      <c r="N216" s="7">
        <v>43792.0</v>
      </c>
      <c r="O216" s="7">
        <v>2426.0</v>
      </c>
      <c r="P216" s="8"/>
    </row>
    <row r="217" ht="14.25" customHeight="1">
      <c r="A217" s="6" t="s">
        <v>850</v>
      </c>
      <c r="B217" s="6" t="s">
        <v>851</v>
      </c>
      <c r="C217" s="6" t="s">
        <v>850</v>
      </c>
      <c r="D217" s="10">
        <v>330921.0</v>
      </c>
      <c r="E217" s="6" t="s">
        <v>18</v>
      </c>
      <c r="H217" s="6" t="s">
        <v>852</v>
      </c>
      <c r="I217" s="6" t="s">
        <v>853</v>
      </c>
      <c r="J217" s="6" t="s">
        <v>854</v>
      </c>
      <c r="L217" s="6" t="s">
        <v>855</v>
      </c>
      <c r="M217" s="12">
        <v>2541.0</v>
      </c>
      <c r="N217" s="12">
        <v>20180.0</v>
      </c>
      <c r="O217" s="12">
        <v>896.0</v>
      </c>
      <c r="P217" s="9"/>
    </row>
    <row r="218" ht="14.25" customHeight="1">
      <c r="A218" s="4" t="s">
        <v>856</v>
      </c>
      <c r="B218" s="4" t="s">
        <v>857</v>
      </c>
      <c r="C218" s="4" t="s">
        <v>856</v>
      </c>
      <c r="D218" s="5">
        <v>165078.0</v>
      </c>
      <c r="E218" s="4" t="s">
        <v>18</v>
      </c>
      <c r="H218" s="4" t="s">
        <v>511</v>
      </c>
      <c r="I218" s="6" t="s">
        <v>512</v>
      </c>
      <c r="L218" s="4" t="s">
        <v>378</v>
      </c>
      <c r="M218" s="7">
        <v>30894.0</v>
      </c>
      <c r="N218" s="7">
        <v>208294.0</v>
      </c>
      <c r="O218" s="7">
        <v>5075.0</v>
      </c>
      <c r="P218" s="9" t="s">
        <v>40</v>
      </c>
    </row>
    <row r="219" ht="14.25" customHeight="1">
      <c r="A219" s="4" t="s">
        <v>858</v>
      </c>
      <c r="B219" s="4" t="s">
        <v>859</v>
      </c>
      <c r="C219" s="4" t="s">
        <v>860</v>
      </c>
      <c r="D219" s="5">
        <v>1790610.0</v>
      </c>
      <c r="E219" s="4" t="s">
        <v>27</v>
      </c>
      <c r="F219" s="4" t="s">
        <v>861</v>
      </c>
      <c r="G219" s="4" t="s">
        <v>862</v>
      </c>
      <c r="L219" s="4" t="s">
        <v>34</v>
      </c>
      <c r="M219" s="7">
        <v>504.0</v>
      </c>
      <c r="N219" s="7">
        <v>0.0</v>
      </c>
      <c r="O219" s="7">
        <v>341.0</v>
      </c>
      <c r="P219" s="8"/>
    </row>
    <row r="220" ht="14.25" customHeight="1">
      <c r="A220" s="4" t="s">
        <v>863</v>
      </c>
      <c r="B220" s="4" t="s">
        <v>864</v>
      </c>
      <c r="C220" s="4" t="s">
        <v>863</v>
      </c>
      <c r="D220" s="5">
        <v>2080807.0</v>
      </c>
      <c r="E220" s="4" t="s">
        <v>27</v>
      </c>
      <c r="F220" s="4" t="s">
        <v>428</v>
      </c>
      <c r="G220" s="4" t="s">
        <v>865</v>
      </c>
      <c r="L220" s="4" t="s">
        <v>34</v>
      </c>
      <c r="M220" s="7">
        <v>733.0</v>
      </c>
      <c r="N220" s="7">
        <v>64.0</v>
      </c>
      <c r="O220" s="7">
        <v>471.0</v>
      </c>
      <c r="P220" s="8"/>
    </row>
    <row r="221" ht="14.25" customHeight="1">
      <c r="A221" s="4" t="s">
        <v>866</v>
      </c>
      <c r="B221" s="4" t="s">
        <v>867</v>
      </c>
      <c r="C221" s="4" t="s">
        <v>866</v>
      </c>
      <c r="D221" s="5">
        <v>472884.0</v>
      </c>
      <c r="E221" s="4" t="s">
        <v>27</v>
      </c>
      <c r="F221" s="4" t="s">
        <v>428</v>
      </c>
      <c r="G221" s="4" t="s">
        <v>186</v>
      </c>
      <c r="L221" s="4" t="s">
        <v>34</v>
      </c>
      <c r="M221" s="7">
        <v>30.0</v>
      </c>
      <c r="N221" s="7">
        <v>0.0</v>
      </c>
      <c r="O221" s="7">
        <v>1.0</v>
      </c>
      <c r="P221" s="8"/>
    </row>
    <row r="222" ht="14.25" customHeight="1">
      <c r="A222" s="4" t="s">
        <v>868</v>
      </c>
      <c r="B222" s="4" t="s">
        <v>869</v>
      </c>
      <c r="C222" s="4" t="s">
        <v>868</v>
      </c>
      <c r="D222" s="5">
        <v>696204.0</v>
      </c>
      <c r="E222" s="4" t="s">
        <v>18</v>
      </c>
      <c r="H222" s="6" t="s">
        <v>70</v>
      </c>
      <c r="I222" s="6" t="s">
        <v>38</v>
      </c>
      <c r="L222" s="4" t="s">
        <v>24</v>
      </c>
      <c r="M222" s="7">
        <v>14102.0</v>
      </c>
      <c r="N222" s="7">
        <v>168057.0</v>
      </c>
      <c r="O222" s="7">
        <v>3228.0</v>
      </c>
      <c r="P222" s="8"/>
    </row>
    <row r="223" ht="14.25" customHeight="1">
      <c r="A223" s="4" t="s">
        <v>870</v>
      </c>
      <c r="B223" s="4" t="s">
        <v>871</v>
      </c>
      <c r="C223" s="4" t="s">
        <v>870</v>
      </c>
      <c r="D223" s="5">
        <v>757198.0</v>
      </c>
      <c r="E223" s="4" t="s">
        <v>18</v>
      </c>
      <c r="F223" s="4" t="s">
        <v>167</v>
      </c>
      <c r="G223" s="4" t="s">
        <v>872</v>
      </c>
      <c r="H223" s="4" t="s">
        <v>70</v>
      </c>
      <c r="I223" s="6" t="s">
        <v>38</v>
      </c>
      <c r="L223" s="4" t="s">
        <v>24</v>
      </c>
      <c r="M223" s="7">
        <v>3314.0</v>
      </c>
      <c r="N223" s="7">
        <v>9344.0</v>
      </c>
      <c r="O223" s="7">
        <v>1766.0</v>
      </c>
      <c r="P223" s="8"/>
    </row>
    <row r="224" ht="14.25" customHeight="1">
      <c r="A224" s="4" t="s">
        <v>873</v>
      </c>
      <c r="B224" s="4" t="s">
        <v>874</v>
      </c>
      <c r="C224" s="4" t="s">
        <v>873</v>
      </c>
      <c r="D224" s="5">
        <v>94332.0</v>
      </c>
      <c r="E224" s="4" t="s">
        <v>27</v>
      </c>
      <c r="F224" s="4" t="s">
        <v>507</v>
      </c>
      <c r="G224" s="4" t="s">
        <v>875</v>
      </c>
      <c r="L224" s="4" t="s">
        <v>34</v>
      </c>
      <c r="M224" s="7">
        <v>1622.0</v>
      </c>
      <c r="N224" s="7">
        <v>7.0</v>
      </c>
      <c r="O224" s="7">
        <v>911.0</v>
      </c>
      <c r="P224" s="8"/>
    </row>
    <row r="225" ht="14.25" customHeight="1">
      <c r="A225" s="4" t="s">
        <v>876</v>
      </c>
      <c r="B225" s="4" t="s">
        <v>877</v>
      </c>
      <c r="C225" s="4" t="s">
        <v>876</v>
      </c>
      <c r="D225" s="5">
        <v>2742914.0</v>
      </c>
      <c r="E225" s="4" t="s">
        <v>18</v>
      </c>
      <c r="L225" s="4" t="s">
        <v>24</v>
      </c>
      <c r="M225" s="7">
        <v>43084.0</v>
      </c>
      <c r="N225" s="7">
        <v>29040.0</v>
      </c>
      <c r="O225" s="7">
        <v>5771.0</v>
      </c>
      <c r="P225" s="8"/>
    </row>
    <row r="226" ht="14.25" customHeight="1">
      <c r="A226" s="4" t="s">
        <v>878</v>
      </c>
      <c r="B226" s="4" t="s">
        <v>879</v>
      </c>
      <c r="C226" s="4" t="s">
        <v>878</v>
      </c>
      <c r="D226" s="5">
        <v>802393.0</v>
      </c>
      <c r="E226" s="4" t="s">
        <v>27</v>
      </c>
      <c r="F226" s="4" t="s">
        <v>68</v>
      </c>
      <c r="G226" s="4" t="s">
        <v>880</v>
      </c>
      <c r="L226" s="4" t="s">
        <v>34</v>
      </c>
      <c r="M226" s="7">
        <v>0.0</v>
      </c>
      <c r="N226" s="7">
        <v>3.0</v>
      </c>
      <c r="O226" s="7">
        <v>0.0</v>
      </c>
      <c r="P226" s="8"/>
    </row>
    <row r="227" ht="14.25" customHeight="1">
      <c r="A227" s="4" t="s">
        <v>881</v>
      </c>
      <c r="B227" s="4" t="s">
        <v>882</v>
      </c>
      <c r="C227" s="4" t="s">
        <v>881</v>
      </c>
      <c r="D227" s="5">
        <v>15292.0</v>
      </c>
      <c r="E227" s="4" t="s">
        <v>27</v>
      </c>
      <c r="F227" s="4" t="s">
        <v>883</v>
      </c>
      <c r="G227" s="4" t="s">
        <v>884</v>
      </c>
      <c r="L227" s="4" t="s">
        <v>34</v>
      </c>
      <c r="M227" s="7">
        <v>25.0</v>
      </c>
      <c r="N227" s="7">
        <v>10.0</v>
      </c>
      <c r="O227" s="7">
        <v>21.0</v>
      </c>
      <c r="P227" s="8"/>
    </row>
    <row r="228" ht="14.25" customHeight="1">
      <c r="A228" s="6" t="s">
        <v>885</v>
      </c>
      <c r="B228" s="6" t="s">
        <v>886</v>
      </c>
      <c r="C228" s="6" t="s">
        <v>885</v>
      </c>
      <c r="D228" s="10">
        <v>23520.0</v>
      </c>
      <c r="E228" s="6" t="s">
        <v>18</v>
      </c>
      <c r="F228" s="6" t="s">
        <v>887</v>
      </c>
      <c r="G228" s="6" t="s">
        <v>888</v>
      </c>
      <c r="H228" s="6" t="s">
        <v>889</v>
      </c>
      <c r="I228" s="6" t="s">
        <v>703</v>
      </c>
      <c r="J228" s="6" t="s">
        <v>854</v>
      </c>
      <c r="K228" s="6" t="s">
        <v>890</v>
      </c>
      <c r="L228" s="6" t="s">
        <v>891</v>
      </c>
      <c r="M228" s="12">
        <v>9795.0</v>
      </c>
      <c r="N228" s="12">
        <v>103099.0</v>
      </c>
      <c r="O228" s="12">
        <v>4377.0</v>
      </c>
      <c r="P228" s="13" t="s">
        <v>40</v>
      </c>
    </row>
    <row r="229" ht="14.25" customHeight="1">
      <c r="A229" s="4" t="s">
        <v>892</v>
      </c>
      <c r="B229" s="4" t="s">
        <v>893</v>
      </c>
      <c r="C229" s="4" t="s">
        <v>892</v>
      </c>
      <c r="D229" s="5">
        <v>16981.0</v>
      </c>
      <c r="E229" s="4" t="s">
        <v>27</v>
      </c>
      <c r="F229" s="4" t="s">
        <v>123</v>
      </c>
      <c r="G229" s="4" t="s">
        <v>894</v>
      </c>
      <c r="L229" s="4" t="s">
        <v>34</v>
      </c>
      <c r="M229" s="7">
        <v>1714.0</v>
      </c>
      <c r="N229" s="7">
        <v>76.0</v>
      </c>
      <c r="O229" s="7">
        <v>1010.0</v>
      </c>
      <c r="P229" s="8"/>
    </row>
    <row r="230" ht="14.25" customHeight="1">
      <c r="A230" s="4" t="s">
        <v>895</v>
      </c>
      <c r="B230" s="4" t="s">
        <v>896</v>
      </c>
      <c r="C230" s="4" t="s">
        <v>895</v>
      </c>
      <c r="D230" s="5">
        <v>1660725.0</v>
      </c>
      <c r="E230" s="4" t="s">
        <v>18</v>
      </c>
      <c r="H230" s="4" t="s">
        <v>567</v>
      </c>
      <c r="I230" s="6" t="s">
        <v>38</v>
      </c>
      <c r="L230" s="4" t="s">
        <v>53</v>
      </c>
      <c r="M230" s="7">
        <v>1858.0</v>
      </c>
      <c r="N230" s="7">
        <v>40371.0</v>
      </c>
      <c r="O230" s="7">
        <v>853.0</v>
      </c>
      <c r="P230" s="8"/>
    </row>
    <row r="231" ht="14.25" customHeight="1">
      <c r="A231" s="4" t="s">
        <v>897</v>
      </c>
      <c r="B231" s="4" t="s">
        <v>898</v>
      </c>
      <c r="C231" s="4" t="s">
        <v>897</v>
      </c>
      <c r="D231" s="5">
        <v>2817546.0</v>
      </c>
      <c r="E231" s="4" t="s">
        <v>18</v>
      </c>
      <c r="H231" s="6" t="s">
        <v>70</v>
      </c>
      <c r="I231" s="6" t="s">
        <v>38</v>
      </c>
      <c r="L231" s="4" t="s">
        <v>24</v>
      </c>
      <c r="M231" s="7">
        <v>6201.0</v>
      </c>
      <c r="N231" s="7">
        <v>24702.0</v>
      </c>
      <c r="O231" s="7">
        <v>1334.0</v>
      </c>
      <c r="P231" s="9" t="s">
        <v>40</v>
      </c>
    </row>
    <row r="232" ht="14.25" customHeight="1">
      <c r="A232" s="4" t="s">
        <v>899</v>
      </c>
      <c r="B232" s="4" t="s">
        <v>900</v>
      </c>
      <c r="D232" s="5">
        <v>1974205.0</v>
      </c>
      <c r="E232" s="4" t="s">
        <v>18</v>
      </c>
      <c r="H232" s="4" t="s">
        <v>315</v>
      </c>
      <c r="I232" s="6" t="s">
        <v>316</v>
      </c>
      <c r="L232" s="4" t="s">
        <v>24</v>
      </c>
      <c r="M232" s="7">
        <v>3977.0</v>
      </c>
      <c r="N232" s="7">
        <v>76819.0</v>
      </c>
      <c r="O232" s="7">
        <v>2085.0</v>
      </c>
      <c r="P232" s="8"/>
    </row>
    <row r="233" ht="14.25" customHeight="1">
      <c r="A233" s="4" t="s">
        <v>901</v>
      </c>
      <c r="B233" s="4" t="s">
        <v>902</v>
      </c>
      <c r="C233" s="4" t="s">
        <v>901</v>
      </c>
      <c r="D233" s="5">
        <v>2014762.0</v>
      </c>
      <c r="E233" s="4" t="s">
        <v>18</v>
      </c>
      <c r="H233" s="4" t="s">
        <v>182</v>
      </c>
      <c r="I233" s="6" t="s">
        <v>126</v>
      </c>
      <c r="L233" s="4" t="s">
        <v>24</v>
      </c>
      <c r="M233" s="7">
        <v>959.0</v>
      </c>
      <c r="N233" s="7">
        <v>3004.0</v>
      </c>
      <c r="O233" s="7">
        <v>469.0</v>
      </c>
      <c r="P233" s="8"/>
    </row>
    <row r="234" ht="14.25" customHeight="1">
      <c r="A234" s="4" t="s">
        <v>903</v>
      </c>
      <c r="B234" s="4" t="s">
        <v>904</v>
      </c>
      <c r="C234" s="4" t="s">
        <v>903</v>
      </c>
      <c r="D234" s="5">
        <v>3190081.0</v>
      </c>
      <c r="E234" s="4" t="s">
        <v>27</v>
      </c>
      <c r="F234" s="4" t="s">
        <v>68</v>
      </c>
      <c r="G234" s="4" t="s">
        <v>905</v>
      </c>
      <c r="L234" s="4" t="s">
        <v>34</v>
      </c>
      <c r="M234" s="7">
        <v>14.0</v>
      </c>
      <c r="N234" s="7">
        <v>0.0</v>
      </c>
      <c r="O234" s="7">
        <v>13.0</v>
      </c>
      <c r="P234" s="8"/>
    </row>
    <row r="235" ht="14.25" customHeight="1">
      <c r="A235" s="4" t="s">
        <v>906</v>
      </c>
      <c r="B235" s="4" t="s">
        <v>907</v>
      </c>
      <c r="C235" s="4" t="s">
        <v>906</v>
      </c>
      <c r="D235" s="5">
        <v>3113590.0</v>
      </c>
      <c r="E235" s="4" t="s">
        <v>27</v>
      </c>
      <c r="F235" s="4" t="s">
        <v>32</v>
      </c>
      <c r="G235" s="4" t="s">
        <v>908</v>
      </c>
      <c r="L235" s="4" t="s">
        <v>34</v>
      </c>
      <c r="M235" s="7">
        <v>7.0</v>
      </c>
      <c r="N235" s="7">
        <v>0.0</v>
      </c>
      <c r="O235" s="7">
        <v>7.0</v>
      </c>
      <c r="P235" s="8"/>
    </row>
    <row r="236" ht="14.25" customHeight="1">
      <c r="A236" s="4" t="s">
        <v>909</v>
      </c>
      <c r="B236" s="4" t="s">
        <v>910</v>
      </c>
      <c r="D236" s="5">
        <v>141434.0</v>
      </c>
      <c r="E236" s="4" t="s">
        <v>27</v>
      </c>
      <c r="F236" s="4" t="s">
        <v>623</v>
      </c>
      <c r="G236" s="4" t="s">
        <v>911</v>
      </c>
      <c r="L236" s="4" t="s">
        <v>34</v>
      </c>
      <c r="M236" s="7">
        <v>66.0</v>
      </c>
      <c r="N236" s="7">
        <v>34.0</v>
      </c>
      <c r="O236" s="7">
        <v>51.0</v>
      </c>
      <c r="P236" s="8"/>
    </row>
    <row r="237" ht="14.25" customHeight="1">
      <c r="A237" s="4" t="s">
        <v>912</v>
      </c>
      <c r="B237" s="4" t="s">
        <v>913</v>
      </c>
      <c r="D237" s="5">
        <v>1516194.0</v>
      </c>
      <c r="E237" s="4" t="s">
        <v>18</v>
      </c>
      <c r="G237" s="4" t="s">
        <v>914</v>
      </c>
      <c r="H237" s="4" t="s">
        <v>915</v>
      </c>
      <c r="I237" s="6" t="s">
        <v>916</v>
      </c>
      <c r="J237" s="4" t="s">
        <v>917</v>
      </c>
      <c r="L237" s="4" t="s">
        <v>65</v>
      </c>
      <c r="M237" s="7">
        <v>626.0</v>
      </c>
      <c r="N237" s="7">
        <v>658.0</v>
      </c>
      <c r="O237" s="7">
        <v>407.0</v>
      </c>
      <c r="P237" s="8"/>
    </row>
    <row r="238" ht="14.25" customHeight="1">
      <c r="A238" s="4" t="s">
        <v>918</v>
      </c>
      <c r="B238" s="4" t="s">
        <v>919</v>
      </c>
      <c r="D238" s="5">
        <v>4875666.0</v>
      </c>
      <c r="E238" s="4" t="s">
        <v>27</v>
      </c>
      <c r="F238" s="4" t="s">
        <v>28</v>
      </c>
      <c r="G238" s="4" t="s">
        <v>393</v>
      </c>
      <c r="L238" s="4" t="s">
        <v>590</v>
      </c>
      <c r="M238" s="7">
        <v>22.0</v>
      </c>
      <c r="N238" s="7">
        <v>10.0</v>
      </c>
      <c r="O238" s="7">
        <v>18.0</v>
      </c>
      <c r="P238" s="8"/>
    </row>
    <row r="239" ht="14.25" customHeight="1">
      <c r="A239" s="4" t="s">
        <v>920</v>
      </c>
      <c r="B239" s="4" t="s">
        <v>921</v>
      </c>
      <c r="C239" s="4" t="s">
        <v>920</v>
      </c>
      <c r="D239" s="5">
        <v>1873292.0</v>
      </c>
      <c r="E239" s="4" t="s">
        <v>27</v>
      </c>
      <c r="F239" s="4" t="s">
        <v>123</v>
      </c>
      <c r="G239" s="4" t="s">
        <v>922</v>
      </c>
      <c r="L239" s="4" t="s">
        <v>34</v>
      </c>
      <c r="M239" s="7">
        <v>57.0</v>
      </c>
      <c r="N239" s="7">
        <v>1.0</v>
      </c>
      <c r="O239" s="7">
        <v>50.0</v>
      </c>
      <c r="P239" s="8"/>
    </row>
    <row r="240" ht="14.25" customHeight="1">
      <c r="A240" s="4" t="s">
        <v>923</v>
      </c>
      <c r="B240" s="4" t="s">
        <v>924</v>
      </c>
      <c r="C240" s="4" t="s">
        <v>923</v>
      </c>
      <c r="D240" s="5">
        <v>2552040.0</v>
      </c>
      <c r="E240" s="4" t="s">
        <v>27</v>
      </c>
      <c r="F240" s="4" t="s">
        <v>217</v>
      </c>
      <c r="G240" s="4" t="s">
        <v>925</v>
      </c>
      <c r="L240" s="4" t="s">
        <v>34</v>
      </c>
      <c r="M240" s="7">
        <v>21.0</v>
      </c>
      <c r="N240" s="7">
        <v>0.0</v>
      </c>
      <c r="O240" s="7">
        <v>19.0</v>
      </c>
      <c r="P240" s="8"/>
    </row>
    <row r="241" ht="14.25" customHeight="1">
      <c r="A241" s="4" t="s">
        <v>926</v>
      </c>
      <c r="B241" s="4" t="s">
        <v>927</v>
      </c>
      <c r="C241" s="4" t="s">
        <v>926</v>
      </c>
      <c r="D241" s="5">
        <v>284660.0</v>
      </c>
      <c r="E241" s="4" t="s">
        <v>18</v>
      </c>
      <c r="H241" s="4" t="s">
        <v>928</v>
      </c>
      <c r="I241" s="6" t="s">
        <v>929</v>
      </c>
      <c r="L241" s="4" t="s">
        <v>39</v>
      </c>
      <c r="M241" s="7">
        <v>5151.0</v>
      </c>
      <c r="N241" s="7">
        <v>1185.0</v>
      </c>
      <c r="O241" s="7">
        <v>1478.0</v>
      </c>
      <c r="P241" s="8"/>
    </row>
    <row r="242" ht="14.25" customHeight="1">
      <c r="A242" s="4" t="s">
        <v>930</v>
      </c>
      <c r="B242" s="4" t="s">
        <v>931</v>
      </c>
      <c r="C242" s="4" t="s">
        <v>930</v>
      </c>
      <c r="D242" s="5">
        <v>1490974.0</v>
      </c>
      <c r="E242" s="4" t="s">
        <v>18</v>
      </c>
      <c r="H242" s="4" t="s">
        <v>595</v>
      </c>
      <c r="I242" s="6" t="s">
        <v>113</v>
      </c>
      <c r="J242" s="4" t="s">
        <v>932</v>
      </c>
      <c r="L242" s="4" t="s">
        <v>24</v>
      </c>
      <c r="M242" s="7">
        <v>34127.0</v>
      </c>
      <c r="N242" s="7">
        <v>6927.0</v>
      </c>
      <c r="O242" s="7">
        <v>3033.0</v>
      </c>
      <c r="P242" s="8"/>
    </row>
    <row r="243" ht="14.25" customHeight="1">
      <c r="A243" s="4" t="s">
        <v>933</v>
      </c>
      <c r="B243" s="4" t="s">
        <v>934</v>
      </c>
      <c r="C243" s="4" t="s">
        <v>933</v>
      </c>
      <c r="D243" s="5">
        <v>6328.0</v>
      </c>
      <c r="E243" s="4" t="s">
        <v>27</v>
      </c>
      <c r="F243" s="4" t="s">
        <v>935</v>
      </c>
      <c r="G243" s="4" t="s">
        <v>936</v>
      </c>
      <c r="L243" s="4" t="s">
        <v>34</v>
      </c>
      <c r="M243" s="7">
        <v>756.0</v>
      </c>
      <c r="N243" s="7">
        <v>661.0</v>
      </c>
      <c r="O243" s="7">
        <v>469.0</v>
      </c>
      <c r="P243" s="8"/>
    </row>
    <row r="244" ht="14.25" customHeight="1">
      <c r="A244" s="4" t="s">
        <v>937</v>
      </c>
      <c r="B244" s="4" t="s">
        <v>938</v>
      </c>
      <c r="C244" s="4" t="s">
        <v>937</v>
      </c>
      <c r="D244" s="5">
        <v>1090002.0</v>
      </c>
      <c r="E244" s="4" t="s">
        <v>27</v>
      </c>
      <c r="F244" s="4" t="s">
        <v>123</v>
      </c>
      <c r="G244" s="4" t="s">
        <v>447</v>
      </c>
      <c r="L244" s="4" t="s">
        <v>34</v>
      </c>
      <c r="M244" s="7">
        <v>486.0</v>
      </c>
      <c r="N244" s="7">
        <v>80.0</v>
      </c>
      <c r="O244" s="7">
        <v>355.0</v>
      </c>
      <c r="P244" s="8"/>
    </row>
    <row r="245" ht="14.25" customHeight="1">
      <c r="A245" s="4" t="s">
        <v>939</v>
      </c>
      <c r="B245" s="4" t="s">
        <v>940</v>
      </c>
      <c r="C245" s="4" t="s">
        <v>939</v>
      </c>
      <c r="D245" s="5">
        <v>1154032.0</v>
      </c>
      <c r="E245" s="4" t="s">
        <v>18</v>
      </c>
      <c r="H245" s="4" t="s">
        <v>941</v>
      </c>
      <c r="I245" s="6" t="s">
        <v>353</v>
      </c>
      <c r="L245" s="4" t="s">
        <v>24</v>
      </c>
      <c r="M245" s="7">
        <v>4340.0</v>
      </c>
      <c r="N245" s="7">
        <v>60641.0</v>
      </c>
      <c r="O245" s="7">
        <v>2018.0</v>
      </c>
      <c r="P245" s="9" t="s">
        <v>40</v>
      </c>
    </row>
    <row r="246" ht="14.25" customHeight="1">
      <c r="A246" s="4" t="s">
        <v>942</v>
      </c>
      <c r="B246" s="4" t="s">
        <v>943</v>
      </c>
      <c r="C246" s="4" t="s">
        <v>942</v>
      </c>
      <c r="D246" s="5">
        <v>1573424.0</v>
      </c>
      <c r="E246" s="4" t="s">
        <v>18</v>
      </c>
      <c r="L246" s="4" t="s">
        <v>24</v>
      </c>
      <c r="M246" s="7">
        <v>1823.0</v>
      </c>
      <c r="N246" s="7">
        <v>774.0</v>
      </c>
      <c r="O246" s="7">
        <v>779.0</v>
      </c>
      <c r="P246" s="8"/>
    </row>
    <row r="247" ht="14.25" customHeight="1">
      <c r="A247" s="4" t="s">
        <v>944</v>
      </c>
      <c r="B247" s="4" t="s">
        <v>945</v>
      </c>
      <c r="C247" s="4" t="s">
        <v>944</v>
      </c>
      <c r="D247" s="5">
        <v>1661585.0</v>
      </c>
      <c r="E247" s="4" t="s">
        <v>18</v>
      </c>
      <c r="H247" s="4" t="s">
        <v>193</v>
      </c>
      <c r="I247" s="6" t="s">
        <v>63</v>
      </c>
      <c r="L247" s="4" t="s">
        <v>39</v>
      </c>
      <c r="M247" s="7">
        <v>376.0</v>
      </c>
      <c r="N247" s="7">
        <v>21587.0</v>
      </c>
      <c r="O247" s="7">
        <v>315.0</v>
      </c>
      <c r="P247" s="8"/>
    </row>
    <row r="248" ht="14.25" customHeight="1">
      <c r="B248" s="6" t="s">
        <v>946</v>
      </c>
      <c r="D248" s="10">
        <v>5662165.0</v>
      </c>
      <c r="E248" s="6" t="s">
        <v>18</v>
      </c>
      <c r="H248" s="6" t="s">
        <v>947</v>
      </c>
      <c r="I248" s="6" t="s">
        <v>948</v>
      </c>
      <c r="L248" s="6" t="s">
        <v>949</v>
      </c>
      <c r="M248" s="7"/>
      <c r="N248" s="7"/>
      <c r="O248" s="7"/>
      <c r="P248" s="8"/>
    </row>
    <row r="249" ht="14.25" customHeight="1">
      <c r="A249" s="4" t="s">
        <v>950</v>
      </c>
      <c r="B249" s="4" t="s">
        <v>951</v>
      </c>
      <c r="C249" s="4" t="s">
        <v>950</v>
      </c>
      <c r="D249" s="5">
        <v>3761126.0</v>
      </c>
      <c r="E249" s="4" t="s">
        <v>18</v>
      </c>
      <c r="H249" s="4" t="s">
        <v>213</v>
      </c>
      <c r="I249" s="6" t="s">
        <v>214</v>
      </c>
      <c r="J249" s="4" t="s">
        <v>952</v>
      </c>
      <c r="L249" s="4" t="s">
        <v>24</v>
      </c>
      <c r="M249" s="7">
        <v>80622.0</v>
      </c>
      <c r="N249" s="7">
        <v>28733.0</v>
      </c>
      <c r="O249" s="7">
        <v>7188.0</v>
      </c>
      <c r="P249" s="8"/>
    </row>
    <row r="250" ht="14.25" customHeight="1">
      <c r="A250" s="4" t="s">
        <v>953</v>
      </c>
      <c r="B250" s="4" t="s">
        <v>954</v>
      </c>
      <c r="D250" s="5">
        <v>30296.0</v>
      </c>
      <c r="E250" s="4" t="s">
        <v>27</v>
      </c>
      <c r="F250" s="4" t="s">
        <v>217</v>
      </c>
      <c r="G250" s="4" t="s">
        <v>388</v>
      </c>
      <c r="L250" s="4" t="s">
        <v>34</v>
      </c>
      <c r="M250" s="7">
        <v>279.0</v>
      </c>
      <c r="N250" s="7">
        <v>423.0</v>
      </c>
      <c r="O250" s="7">
        <v>240.0</v>
      </c>
      <c r="P250" s="8"/>
    </row>
    <row r="251" ht="14.25" customHeight="1">
      <c r="A251" s="4" t="s">
        <v>955</v>
      </c>
      <c r="B251" s="4" t="s">
        <v>956</v>
      </c>
      <c r="D251" s="5">
        <v>7259007.0</v>
      </c>
      <c r="E251" s="4" t="s">
        <v>18</v>
      </c>
      <c r="F251" s="4" t="s">
        <v>957</v>
      </c>
      <c r="G251" s="4" t="s">
        <v>958</v>
      </c>
      <c r="H251" s="4" t="s">
        <v>62</v>
      </c>
      <c r="I251" s="6" t="s">
        <v>63</v>
      </c>
      <c r="L251" s="4" t="s">
        <v>39</v>
      </c>
      <c r="M251" s="7">
        <v>14.0</v>
      </c>
      <c r="N251" s="7">
        <v>16.0</v>
      </c>
      <c r="O251" s="7">
        <v>13.0</v>
      </c>
      <c r="P251" s="8"/>
    </row>
    <row r="252" ht="14.25" customHeight="1">
      <c r="A252" s="4" t="s">
        <v>959</v>
      </c>
      <c r="B252" s="4" t="s">
        <v>960</v>
      </c>
      <c r="C252" s="4" t="s">
        <v>959</v>
      </c>
      <c r="D252" s="5">
        <v>96716.0</v>
      </c>
      <c r="E252" s="4" t="s">
        <v>18</v>
      </c>
      <c r="H252" s="4" t="s">
        <v>70</v>
      </c>
      <c r="I252" s="6" t="s">
        <v>38</v>
      </c>
      <c r="L252" s="4" t="s">
        <v>39</v>
      </c>
      <c r="M252" s="7">
        <v>4944.0</v>
      </c>
      <c r="N252" s="7">
        <v>4188.0</v>
      </c>
      <c r="O252" s="7">
        <v>2105.0</v>
      </c>
      <c r="P252" s="8"/>
    </row>
    <row r="253" ht="14.25" customHeight="1">
      <c r="A253" s="4" t="s">
        <v>961</v>
      </c>
      <c r="B253" s="4" t="s">
        <v>962</v>
      </c>
      <c r="C253" s="4" t="s">
        <v>961</v>
      </c>
      <c r="D253" s="5">
        <v>507838.0</v>
      </c>
      <c r="E253" s="4" t="s">
        <v>18</v>
      </c>
      <c r="H253" s="4" t="s">
        <v>141</v>
      </c>
      <c r="I253" s="6" t="s">
        <v>142</v>
      </c>
      <c r="L253" s="4" t="s">
        <v>24</v>
      </c>
      <c r="M253" s="7">
        <v>1937.0</v>
      </c>
      <c r="N253" s="7">
        <v>1101.0</v>
      </c>
      <c r="O253" s="7">
        <v>577.0</v>
      </c>
      <c r="P253" s="9" t="s">
        <v>40</v>
      </c>
    </row>
    <row r="254" ht="14.25" customHeight="1">
      <c r="A254" s="4" t="s">
        <v>963</v>
      </c>
      <c r="B254" s="4" t="s">
        <v>964</v>
      </c>
      <c r="C254" s="4" t="s">
        <v>963</v>
      </c>
      <c r="D254" s="5">
        <v>45243.0</v>
      </c>
      <c r="E254" s="4" t="s">
        <v>27</v>
      </c>
      <c r="F254" s="4" t="s">
        <v>588</v>
      </c>
      <c r="G254" s="4" t="s">
        <v>965</v>
      </c>
      <c r="H254" s="4" t="s">
        <v>754</v>
      </c>
      <c r="I254" s="6" t="s">
        <v>755</v>
      </c>
      <c r="L254" s="4" t="s">
        <v>590</v>
      </c>
      <c r="M254" s="7">
        <v>2740.0</v>
      </c>
      <c r="N254" s="7">
        <v>18604.0</v>
      </c>
      <c r="O254" s="7">
        <v>930.0</v>
      </c>
      <c r="P254" s="8"/>
    </row>
    <row r="255" ht="14.25" customHeight="1">
      <c r="A255" s="4" t="s">
        <v>966</v>
      </c>
      <c r="B255" s="4" t="s">
        <v>967</v>
      </c>
      <c r="C255" s="4" t="s">
        <v>966</v>
      </c>
      <c r="D255" s="5">
        <v>5231239.0</v>
      </c>
      <c r="E255" s="4" t="s">
        <v>18</v>
      </c>
      <c r="H255" s="4" t="s">
        <v>968</v>
      </c>
      <c r="I255" s="6" t="s">
        <v>286</v>
      </c>
      <c r="L255" s="4" t="s">
        <v>53</v>
      </c>
      <c r="M255" s="7">
        <v>2686.0</v>
      </c>
      <c r="N255" s="7">
        <v>62065.0</v>
      </c>
      <c r="O255" s="7">
        <v>805.0</v>
      </c>
      <c r="P255" s="8"/>
    </row>
    <row r="256" ht="14.25" customHeight="1">
      <c r="A256" s="4" t="s">
        <v>969</v>
      </c>
      <c r="B256" s="4" t="s">
        <v>970</v>
      </c>
      <c r="C256" s="4" t="s">
        <v>969</v>
      </c>
      <c r="D256" s="5">
        <v>166236.0</v>
      </c>
      <c r="E256" s="4" t="s">
        <v>18</v>
      </c>
      <c r="H256" s="4" t="s">
        <v>971</v>
      </c>
      <c r="I256" s="6" t="s">
        <v>142</v>
      </c>
      <c r="L256" s="4" t="s">
        <v>39</v>
      </c>
      <c r="M256" s="7">
        <v>9102.0</v>
      </c>
      <c r="N256" s="7">
        <v>80363.0</v>
      </c>
      <c r="O256" s="7">
        <v>2053.0</v>
      </c>
      <c r="P256" s="8"/>
    </row>
    <row r="257" ht="14.25" customHeight="1">
      <c r="A257" s="4" t="s">
        <v>972</v>
      </c>
      <c r="B257" s="4" t="s">
        <v>973</v>
      </c>
      <c r="C257" s="4" t="s">
        <v>974</v>
      </c>
      <c r="D257" s="5">
        <v>12049.0</v>
      </c>
      <c r="E257" s="4" t="s">
        <v>18</v>
      </c>
      <c r="H257" s="4" t="s">
        <v>146</v>
      </c>
      <c r="I257" s="6" t="s">
        <v>147</v>
      </c>
      <c r="L257" s="4" t="s">
        <v>65</v>
      </c>
      <c r="M257" s="7">
        <v>37517.0</v>
      </c>
      <c r="N257" s="7">
        <v>7599.0</v>
      </c>
      <c r="O257" s="7">
        <v>8196.0</v>
      </c>
      <c r="P257" s="8"/>
    </row>
    <row r="258" ht="14.25" customHeight="1">
      <c r="A258" s="4" t="s">
        <v>975</v>
      </c>
      <c r="B258" s="4" t="s">
        <v>976</v>
      </c>
      <c r="C258" s="4" t="s">
        <v>975</v>
      </c>
      <c r="D258" s="5">
        <v>79425.0</v>
      </c>
      <c r="E258" s="4" t="s">
        <v>27</v>
      </c>
      <c r="F258" s="4" t="s">
        <v>428</v>
      </c>
      <c r="G258" s="4" t="s">
        <v>168</v>
      </c>
      <c r="L258" s="4" t="s">
        <v>34</v>
      </c>
      <c r="M258" s="7">
        <v>291.0</v>
      </c>
      <c r="N258" s="7">
        <v>34.0</v>
      </c>
      <c r="O258" s="7">
        <v>283.0</v>
      </c>
      <c r="P258" s="8"/>
    </row>
    <row r="259" ht="14.25" customHeight="1">
      <c r="A259" s="4" t="s">
        <v>977</v>
      </c>
      <c r="B259" s="4" t="s">
        <v>978</v>
      </c>
      <c r="D259" s="5">
        <v>7338998.0</v>
      </c>
      <c r="E259" s="4" t="s">
        <v>18</v>
      </c>
      <c r="H259" s="4" t="s">
        <v>979</v>
      </c>
      <c r="I259" s="6" t="s">
        <v>38</v>
      </c>
      <c r="L259" s="4" t="s">
        <v>39</v>
      </c>
      <c r="M259" s="7">
        <v>0.0</v>
      </c>
      <c r="N259" s="7">
        <v>0.0</v>
      </c>
      <c r="O259" s="7">
        <v>0.0</v>
      </c>
      <c r="P259" s="8"/>
    </row>
    <row r="260" ht="14.25" customHeight="1">
      <c r="A260" s="4" t="s">
        <v>980</v>
      </c>
      <c r="B260" s="4" t="s">
        <v>981</v>
      </c>
      <c r="C260" s="4" t="s">
        <v>980</v>
      </c>
      <c r="D260" s="5">
        <v>2183872.0</v>
      </c>
      <c r="E260" s="4" t="s">
        <v>27</v>
      </c>
      <c r="F260" s="4" t="s">
        <v>217</v>
      </c>
      <c r="G260" s="4" t="s">
        <v>783</v>
      </c>
      <c r="L260" s="4" t="s">
        <v>34</v>
      </c>
      <c r="M260" s="7">
        <v>80.0</v>
      </c>
      <c r="N260" s="7">
        <v>0.0</v>
      </c>
      <c r="O260" s="7">
        <v>70.0</v>
      </c>
      <c r="P260" s="8"/>
    </row>
    <row r="261" ht="14.25" customHeight="1">
      <c r="A261" s="4" t="s">
        <v>982</v>
      </c>
      <c r="B261" s="4" t="s">
        <v>983</v>
      </c>
      <c r="C261" s="4" t="s">
        <v>982</v>
      </c>
      <c r="D261" s="5">
        <v>1562662.0</v>
      </c>
      <c r="E261" s="4" t="s">
        <v>18</v>
      </c>
      <c r="H261" s="4" t="s">
        <v>984</v>
      </c>
      <c r="I261" s="6" t="s">
        <v>768</v>
      </c>
      <c r="L261" s="4" t="s">
        <v>24</v>
      </c>
      <c r="M261" s="7">
        <v>2185.0</v>
      </c>
      <c r="N261" s="7">
        <v>15685.0</v>
      </c>
      <c r="O261" s="7">
        <v>715.0</v>
      </c>
      <c r="P261" s="8"/>
    </row>
    <row r="262" ht="14.25" customHeight="1">
      <c r="A262" s="4" t="s">
        <v>985</v>
      </c>
      <c r="B262" s="4" t="s">
        <v>986</v>
      </c>
      <c r="C262" s="4" t="s">
        <v>985</v>
      </c>
      <c r="D262" s="5">
        <v>7780.0</v>
      </c>
      <c r="E262" s="4" t="s">
        <v>18</v>
      </c>
      <c r="H262" s="4" t="s">
        <v>987</v>
      </c>
      <c r="I262" s="6" t="s">
        <v>988</v>
      </c>
      <c r="L262" s="4" t="s">
        <v>24</v>
      </c>
      <c r="M262" s="7">
        <v>8532.0</v>
      </c>
      <c r="N262" s="7">
        <v>2513.0</v>
      </c>
      <c r="O262" s="7">
        <v>1077.0</v>
      </c>
      <c r="P262" s="8"/>
    </row>
    <row r="263" ht="14.25" customHeight="1">
      <c r="A263" s="4" t="s">
        <v>989</v>
      </c>
      <c r="B263" s="6" t="s">
        <v>990</v>
      </c>
      <c r="D263" s="10">
        <v>24916.0</v>
      </c>
      <c r="E263" s="4" t="s">
        <v>27</v>
      </c>
      <c r="F263" s="4" t="s">
        <v>130</v>
      </c>
      <c r="G263" s="4" t="s">
        <v>801</v>
      </c>
      <c r="H263" s="6" t="s">
        <v>70</v>
      </c>
      <c r="I263" s="6" t="s">
        <v>38</v>
      </c>
      <c r="J263" s="6" t="s">
        <v>991</v>
      </c>
      <c r="L263" s="6" t="s">
        <v>71</v>
      </c>
      <c r="M263" s="7">
        <v>8328.0</v>
      </c>
      <c r="N263" s="7">
        <v>96.0</v>
      </c>
      <c r="O263" s="7">
        <v>2673.0</v>
      </c>
      <c r="P263" s="8"/>
    </row>
    <row r="264" ht="14.25" customHeight="1">
      <c r="A264" s="4" t="s">
        <v>992</v>
      </c>
      <c r="B264" s="4" t="s">
        <v>993</v>
      </c>
      <c r="D264" s="5">
        <v>194174.0</v>
      </c>
      <c r="E264" s="4" t="s">
        <v>18</v>
      </c>
      <c r="H264" s="4" t="s">
        <v>70</v>
      </c>
      <c r="I264" s="6" t="s">
        <v>38</v>
      </c>
      <c r="L264" s="4" t="s">
        <v>39</v>
      </c>
      <c r="M264" s="7">
        <v>69.0</v>
      </c>
      <c r="N264" s="7">
        <v>582.0</v>
      </c>
      <c r="O264" s="7">
        <v>63.0</v>
      </c>
      <c r="P264" s="8"/>
    </row>
    <row r="265" ht="14.25" customHeight="1">
      <c r="A265" s="4" t="s">
        <v>994</v>
      </c>
      <c r="B265" s="4" t="s">
        <v>995</v>
      </c>
      <c r="C265" s="4" t="s">
        <v>994</v>
      </c>
      <c r="D265" s="5">
        <v>3849338.0</v>
      </c>
      <c r="E265" s="4" t="s">
        <v>18</v>
      </c>
      <c r="H265" s="4" t="s">
        <v>996</v>
      </c>
      <c r="I265" s="6" t="s">
        <v>997</v>
      </c>
      <c r="L265" s="4" t="s">
        <v>65</v>
      </c>
      <c r="M265" s="7">
        <v>501.0</v>
      </c>
      <c r="N265" s="7">
        <v>56513.0</v>
      </c>
      <c r="O265" s="7">
        <v>358.0</v>
      </c>
      <c r="P265" s="9" t="s">
        <v>40</v>
      </c>
    </row>
    <row r="266" ht="14.25" customHeight="1">
      <c r="A266" s="4" t="s">
        <v>998</v>
      </c>
      <c r="B266" s="4" t="s">
        <v>999</v>
      </c>
      <c r="C266" s="4" t="s">
        <v>998</v>
      </c>
      <c r="D266" s="5">
        <v>1087911.0</v>
      </c>
      <c r="E266" s="4" t="s">
        <v>18</v>
      </c>
      <c r="H266" s="4" t="s">
        <v>702</v>
      </c>
      <c r="I266" s="6" t="s">
        <v>703</v>
      </c>
      <c r="L266" s="4" t="s">
        <v>53</v>
      </c>
      <c r="M266" s="7">
        <v>8058.0</v>
      </c>
      <c r="N266" s="7">
        <v>5847.0</v>
      </c>
      <c r="O266" s="7">
        <v>2933.0</v>
      </c>
      <c r="P266" s="9" t="s">
        <v>40</v>
      </c>
    </row>
    <row r="267" ht="14.25" customHeight="1">
      <c r="A267" s="4" t="s">
        <v>1000</v>
      </c>
      <c r="B267" s="4" t="s">
        <v>1001</v>
      </c>
      <c r="C267" s="4" t="s">
        <v>1000</v>
      </c>
      <c r="D267" s="5">
        <v>1372768.0</v>
      </c>
      <c r="E267" s="4" t="s">
        <v>27</v>
      </c>
      <c r="F267" s="4" t="s">
        <v>883</v>
      </c>
      <c r="G267" s="4" t="s">
        <v>783</v>
      </c>
      <c r="L267" s="4" t="s">
        <v>34</v>
      </c>
      <c r="M267" s="7">
        <v>3647.0</v>
      </c>
      <c r="N267" s="7">
        <v>1102.0</v>
      </c>
      <c r="O267" s="7">
        <v>1595.0</v>
      </c>
      <c r="P267" s="8"/>
    </row>
    <row r="268" ht="14.25" customHeight="1">
      <c r="A268" s="6" t="s">
        <v>1002</v>
      </c>
      <c r="B268" s="6" t="s">
        <v>1003</v>
      </c>
      <c r="C268" s="6" t="s">
        <v>1002</v>
      </c>
      <c r="D268" s="10">
        <v>324885.0</v>
      </c>
      <c r="E268" s="6" t="s">
        <v>18</v>
      </c>
      <c r="H268" s="6" t="s">
        <v>1004</v>
      </c>
      <c r="I268" s="6" t="s">
        <v>1005</v>
      </c>
      <c r="L268" s="6" t="s">
        <v>71</v>
      </c>
      <c r="M268" s="7">
        <v>37899.0</v>
      </c>
      <c r="N268" s="7">
        <v>223491.0</v>
      </c>
      <c r="O268" s="7">
        <v>4060.0</v>
      </c>
      <c r="P268" s="9" t="s">
        <v>40</v>
      </c>
    </row>
    <row r="269" ht="14.25" customHeight="1">
      <c r="A269" s="4" t="s">
        <v>1006</v>
      </c>
      <c r="B269" s="4" t="s">
        <v>1007</v>
      </c>
      <c r="C269" s="4" t="s">
        <v>1006</v>
      </c>
      <c r="D269" s="5">
        <v>2828413.0</v>
      </c>
      <c r="E269" s="4" t="s">
        <v>27</v>
      </c>
      <c r="F269" s="4" t="s">
        <v>1008</v>
      </c>
      <c r="G269" s="4" t="s">
        <v>1009</v>
      </c>
      <c r="L269" s="4" t="s">
        <v>29</v>
      </c>
      <c r="M269" s="7">
        <v>9.0</v>
      </c>
      <c r="N269" s="7">
        <v>0.0</v>
      </c>
      <c r="O269" s="7">
        <v>9.0</v>
      </c>
      <c r="P269" s="8"/>
    </row>
    <row r="270" ht="14.25" customHeight="1">
      <c r="A270" s="4" t="s">
        <v>1010</v>
      </c>
      <c r="B270" s="4" t="s">
        <v>1011</v>
      </c>
      <c r="C270" s="4" t="s">
        <v>1010</v>
      </c>
      <c r="D270" s="5">
        <v>9706.0</v>
      </c>
      <c r="E270" s="4" t="s">
        <v>18</v>
      </c>
      <c r="H270" s="4" t="s">
        <v>182</v>
      </c>
      <c r="I270" s="6" t="s">
        <v>126</v>
      </c>
      <c r="L270" s="4" t="s">
        <v>65</v>
      </c>
      <c r="M270" s="7">
        <v>39672.0</v>
      </c>
      <c r="N270" s="7">
        <v>453147.0</v>
      </c>
      <c r="O270" s="7">
        <v>4465.0</v>
      </c>
      <c r="P270" s="9" t="s">
        <v>40</v>
      </c>
    </row>
    <row r="271" ht="14.25" customHeight="1">
      <c r="A271" s="4" t="s">
        <v>1012</v>
      </c>
      <c r="B271" s="4" t="s">
        <v>1013</v>
      </c>
      <c r="D271" s="5">
        <v>2987037.0</v>
      </c>
      <c r="E271" s="4" t="s">
        <v>18</v>
      </c>
      <c r="H271" s="4" t="s">
        <v>1014</v>
      </c>
      <c r="I271" s="6" t="s">
        <v>1015</v>
      </c>
      <c r="L271" s="4" t="s">
        <v>39</v>
      </c>
      <c r="M271" s="7">
        <v>0.0</v>
      </c>
      <c r="N271" s="7">
        <v>458426.0</v>
      </c>
      <c r="O271" s="7">
        <v>0.0</v>
      </c>
      <c r="P271" s="8"/>
    </row>
    <row r="272" ht="14.25" customHeight="1">
      <c r="A272" s="4" t="s">
        <v>1016</v>
      </c>
      <c r="B272" s="4" t="s">
        <v>1017</v>
      </c>
      <c r="C272" s="4" t="s">
        <v>1016</v>
      </c>
      <c r="D272" s="5">
        <v>681311.0</v>
      </c>
      <c r="E272" s="4" t="s">
        <v>27</v>
      </c>
      <c r="F272" s="4" t="s">
        <v>32</v>
      </c>
      <c r="G272" s="4" t="s">
        <v>1018</v>
      </c>
      <c r="L272" s="4" t="s">
        <v>34</v>
      </c>
      <c r="M272" s="7">
        <v>2845.0</v>
      </c>
      <c r="N272" s="7">
        <v>424.0</v>
      </c>
      <c r="O272" s="7">
        <v>1231.0</v>
      </c>
      <c r="P272" s="8"/>
    </row>
    <row r="273" ht="14.25" customHeight="1">
      <c r="A273" s="4" t="s">
        <v>1019</v>
      </c>
      <c r="B273" s="4" t="s">
        <v>1020</v>
      </c>
      <c r="C273" s="4" t="s">
        <v>1021</v>
      </c>
      <c r="D273" s="5">
        <v>402110.0</v>
      </c>
      <c r="E273" s="4" t="s">
        <v>18</v>
      </c>
      <c r="H273" s="4" t="s">
        <v>300</v>
      </c>
      <c r="I273" s="6" t="s">
        <v>301</v>
      </c>
      <c r="L273" s="4" t="s">
        <v>39</v>
      </c>
      <c r="M273" s="7">
        <v>14.0</v>
      </c>
      <c r="N273" s="7">
        <v>1976.0</v>
      </c>
      <c r="O273" s="7">
        <v>7.0</v>
      </c>
      <c r="P273" s="8"/>
    </row>
    <row r="274" ht="14.25" customHeight="1">
      <c r="A274" s="6" t="s">
        <v>1022</v>
      </c>
      <c r="B274" s="6" t="s">
        <v>1023</v>
      </c>
      <c r="C274" s="6" t="s">
        <v>1022</v>
      </c>
      <c r="D274" s="10">
        <v>7120228.0</v>
      </c>
      <c r="E274" s="6" t="s">
        <v>1024</v>
      </c>
      <c r="F274" s="6" t="s">
        <v>123</v>
      </c>
      <c r="G274" s="6" t="s">
        <v>1025</v>
      </c>
      <c r="H274" s="6" t="s">
        <v>141</v>
      </c>
      <c r="I274" s="6" t="s">
        <v>142</v>
      </c>
      <c r="L274" s="6" t="s">
        <v>1026</v>
      </c>
      <c r="M274" s="12">
        <v>283.0</v>
      </c>
      <c r="N274" s="12">
        <v>325.0</v>
      </c>
      <c r="O274" s="12">
        <v>193.0</v>
      </c>
      <c r="P274" s="8"/>
    </row>
    <row r="275" ht="14.25" customHeight="1">
      <c r="A275" s="6" t="s">
        <v>1027</v>
      </c>
      <c r="B275" s="6" t="s">
        <v>1028</v>
      </c>
      <c r="C275" s="6" t="s">
        <v>1027</v>
      </c>
      <c r="D275" s="10">
        <v>51931.0</v>
      </c>
      <c r="E275" s="6" t="s">
        <v>18</v>
      </c>
      <c r="F275" s="6" t="s">
        <v>1029</v>
      </c>
      <c r="G275" s="6" t="s">
        <v>1030</v>
      </c>
      <c r="H275" s="6" t="s">
        <v>1031</v>
      </c>
      <c r="I275" s="6" t="s">
        <v>1032</v>
      </c>
      <c r="J275" s="6" t="s">
        <v>1033</v>
      </c>
      <c r="L275" s="6" t="s">
        <v>71</v>
      </c>
      <c r="M275" s="7">
        <v>24313.0</v>
      </c>
      <c r="N275" s="7">
        <v>30667.0</v>
      </c>
      <c r="O275" s="7">
        <v>3768.0</v>
      </c>
      <c r="P275" s="8"/>
    </row>
    <row r="276" ht="14.25" customHeight="1">
      <c r="B276" s="4" t="s">
        <v>1034</v>
      </c>
      <c r="D276" s="5">
        <v>2614597.0</v>
      </c>
      <c r="E276" s="4" t="s">
        <v>18</v>
      </c>
      <c r="L276" s="4" t="s">
        <v>24</v>
      </c>
      <c r="M276" s="7">
        <v>103.0</v>
      </c>
      <c r="N276" s="7">
        <v>0.0</v>
      </c>
      <c r="O276" s="7">
        <v>36.0</v>
      </c>
      <c r="P276" s="8"/>
    </row>
    <row r="277" ht="14.25" customHeight="1">
      <c r="A277" s="4" t="s">
        <v>1035</v>
      </c>
      <c r="B277" s="4" t="s">
        <v>1036</v>
      </c>
      <c r="C277" s="4" t="s">
        <v>1035</v>
      </c>
      <c r="D277" s="5">
        <v>723565.0</v>
      </c>
      <c r="E277" s="4" t="s">
        <v>18</v>
      </c>
      <c r="H277" s="4" t="s">
        <v>1037</v>
      </c>
      <c r="I277" s="17" t="s">
        <v>1038</v>
      </c>
      <c r="L277" s="4" t="s">
        <v>65</v>
      </c>
      <c r="M277" s="7">
        <v>4091.0</v>
      </c>
      <c r="N277" s="7">
        <v>34666.0</v>
      </c>
      <c r="O277" s="7">
        <v>1154.0</v>
      </c>
      <c r="P277" s="9" t="s">
        <v>40</v>
      </c>
    </row>
    <row r="278" ht="14.25" customHeight="1">
      <c r="A278" s="4" t="s">
        <v>1039</v>
      </c>
      <c r="B278" s="4" t="s">
        <v>1040</v>
      </c>
      <c r="C278" s="4" t="s">
        <v>1039</v>
      </c>
      <c r="D278" s="5">
        <v>435834.0</v>
      </c>
      <c r="E278" s="4" t="s">
        <v>27</v>
      </c>
      <c r="F278" s="4" t="s">
        <v>1041</v>
      </c>
      <c r="G278" s="4" t="s">
        <v>168</v>
      </c>
      <c r="L278" s="4" t="s">
        <v>34</v>
      </c>
      <c r="M278" s="7">
        <v>526.0</v>
      </c>
      <c r="N278" s="7">
        <v>1262.0</v>
      </c>
      <c r="O278" s="7">
        <v>341.0</v>
      </c>
      <c r="P278" s="8"/>
    </row>
    <row r="279" ht="14.25" customHeight="1">
      <c r="A279" s="6" t="s">
        <v>1042</v>
      </c>
      <c r="B279" s="6" t="s">
        <v>1043</v>
      </c>
      <c r="C279" s="6" t="s">
        <v>1042</v>
      </c>
      <c r="D279" s="10">
        <v>8060.0</v>
      </c>
      <c r="E279" s="6" t="s">
        <v>18</v>
      </c>
      <c r="F279" s="6" t="s">
        <v>1044</v>
      </c>
      <c r="G279" s="6" t="s">
        <v>501</v>
      </c>
      <c r="H279" s="6" t="s">
        <v>1045</v>
      </c>
      <c r="I279" s="6" t="s">
        <v>107</v>
      </c>
      <c r="L279" s="6" t="s">
        <v>71</v>
      </c>
      <c r="M279" s="7">
        <v>1011.0</v>
      </c>
      <c r="N279" s="7">
        <v>34586.0</v>
      </c>
      <c r="O279" s="7">
        <v>940.0</v>
      </c>
      <c r="P279" s="9" t="s">
        <v>40</v>
      </c>
    </row>
    <row r="280" ht="14.25" customHeight="1">
      <c r="B280" s="4" t="s">
        <v>1046</v>
      </c>
      <c r="D280" s="5">
        <v>13406.0</v>
      </c>
      <c r="E280" s="4" t="s">
        <v>18</v>
      </c>
      <c r="H280" s="4" t="s">
        <v>1047</v>
      </c>
      <c r="I280" s="6" t="s">
        <v>1048</v>
      </c>
      <c r="L280" s="4" t="s">
        <v>24</v>
      </c>
      <c r="M280" s="7">
        <v>7282.0</v>
      </c>
      <c r="N280" s="7">
        <v>159109.0</v>
      </c>
      <c r="O280" s="7">
        <v>1705.0</v>
      </c>
      <c r="P280" s="8"/>
    </row>
    <row r="281" ht="14.25" customHeight="1">
      <c r="A281" s="4" t="s">
        <v>1049</v>
      </c>
      <c r="B281" s="4" t="s">
        <v>1050</v>
      </c>
      <c r="C281" s="4" t="s">
        <v>1049</v>
      </c>
      <c r="D281" s="5">
        <v>1167123.0</v>
      </c>
      <c r="E281" s="4" t="s">
        <v>18</v>
      </c>
      <c r="H281" s="4" t="s">
        <v>1051</v>
      </c>
      <c r="I281" s="6" t="s">
        <v>762</v>
      </c>
      <c r="L281" s="4" t="s">
        <v>65</v>
      </c>
      <c r="M281" s="7">
        <v>102.0</v>
      </c>
      <c r="N281" s="7">
        <v>52919.0</v>
      </c>
      <c r="O281" s="7">
        <v>83.0</v>
      </c>
      <c r="P281" s="9" t="s">
        <v>40</v>
      </c>
    </row>
    <row r="282" ht="14.25" customHeight="1">
      <c r="A282" s="4" t="s">
        <v>1052</v>
      </c>
      <c r="B282" s="4" t="s">
        <v>1053</v>
      </c>
      <c r="C282" s="4" t="s">
        <v>1052</v>
      </c>
      <c r="D282" s="5">
        <v>245282.0</v>
      </c>
      <c r="E282" s="4" t="s">
        <v>18</v>
      </c>
      <c r="H282" s="4" t="s">
        <v>146</v>
      </c>
      <c r="I282" s="6" t="s">
        <v>147</v>
      </c>
      <c r="L282" s="4" t="s">
        <v>378</v>
      </c>
      <c r="M282" s="7">
        <v>37442.0</v>
      </c>
      <c r="N282" s="7">
        <v>149657.0</v>
      </c>
      <c r="O282" s="7">
        <v>3544.0</v>
      </c>
      <c r="P282" s="9" t="s">
        <v>40</v>
      </c>
    </row>
    <row r="283" ht="14.25" customHeight="1">
      <c r="A283" s="4" t="s">
        <v>1054</v>
      </c>
      <c r="B283" s="4" t="s">
        <v>1055</v>
      </c>
      <c r="D283" s="5">
        <v>215952.0</v>
      </c>
      <c r="E283" s="4" t="s">
        <v>27</v>
      </c>
      <c r="F283" s="4" t="s">
        <v>381</v>
      </c>
      <c r="G283" s="4" t="s">
        <v>393</v>
      </c>
      <c r="L283" s="4" t="s">
        <v>34</v>
      </c>
      <c r="M283" s="7">
        <v>0.0</v>
      </c>
      <c r="N283" s="7">
        <v>5.0</v>
      </c>
      <c r="O283" s="7">
        <v>0.0</v>
      </c>
      <c r="P283" s="8"/>
    </row>
    <row r="284" ht="14.25" customHeight="1">
      <c r="A284" s="4" t="s">
        <v>1056</v>
      </c>
      <c r="B284" s="4" t="s">
        <v>1057</v>
      </c>
      <c r="C284" s="4" t="s">
        <v>1056</v>
      </c>
      <c r="D284" s="5">
        <v>605783.0</v>
      </c>
      <c r="E284" s="4" t="s">
        <v>27</v>
      </c>
      <c r="F284" s="4" t="s">
        <v>79</v>
      </c>
      <c r="G284" s="4" t="s">
        <v>168</v>
      </c>
      <c r="H284" s="4" t="s">
        <v>1058</v>
      </c>
      <c r="I284" s="6" t="s">
        <v>126</v>
      </c>
      <c r="L284" s="4" t="s">
        <v>34</v>
      </c>
      <c r="M284" s="7">
        <v>3409.0</v>
      </c>
      <c r="N284" s="7">
        <v>31300.0</v>
      </c>
      <c r="O284" s="7">
        <v>1354.0</v>
      </c>
      <c r="P284" s="8"/>
    </row>
    <row r="285" ht="14.25" customHeight="1">
      <c r="A285" s="4" t="s">
        <v>1059</v>
      </c>
      <c r="B285" s="6" t="s">
        <v>1060</v>
      </c>
      <c r="C285" s="6" t="s">
        <v>1059</v>
      </c>
      <c r="D285" s="10">
        <v>4608265.0</v>
      </c>
      <c r="E285" s="4" t="s">
        <v>27</v>
      </c>
      <c r="F285" s="4" t="s">
        <v>308</v>
      </c>
      <c r="G285" s="4" t="s">
        <v>1061</v>
      </c>
      <c r="H285" s="6" t="s">
        <v>310</v>
      </c>
      <c r="I285" s="6" t="s">
        <v>22</v>
      </c>
      <c r="J285" s="6" t="s">
        <v>1062</v>
      </c>
      <c r="L285" s="4" t="s">
        <v>34</v>
      </c>
      <c r="M285" s="7">
        <v>0.0</v>
      </c>
      <c r="N285" s="7">
        <v>0.0</v>
      </c>
      <c r="O285" s="7">
        <v>0.0</v>
      </c>
      <c r="P285" s="11"/>
    </row>
    <row r="286" ht="14.25" customHeight="1">
      <c r="A286" s="4" t="s">
        <v>1063</v>
      </c>
      <c r="B286" s="4" t="s">
        <v>1064</v>
      </c>
      <c r="C286" s="4" t="s">
        <v>1065</v>
      </c>
      <c r="D286" s="5">
        <v>251517.0</v>
      </c>
      <c r="E286" s="4" t="s">
        <v>18</v>
      </c>
      <c r="H286" s="4" t="s">
        <v>702</v>
      </c>
      <c r="I286" s="6" t="s">
        <v>703</v>
      </c>
      <c r="L286" s="4" t="s">
        <v>39</v>
      </c>
      <c r="M286" s="7">
        <v>331.0</v>
      </c>
      <c r="N286" s="7">
        <v>532.0</v>
      </c>
      <c r="O286" s="7">
        <v>263.0</v>
      </c>
      <c r="P286" s="8"/>
    </row>
    <row r="287" ht="14.25" customHeight="1">
      <c r="A287" s="4" t="s">
        <v>1066</v>
      </c>
      <c r="B287" s="4" t="s">
        <v>1067</v>
      </c>
      <c r="C287" s="4" t="s">
        <v>1066</v>
      </c>
      <c r="D287" s="5">
        <v>408815.0</v>
      </c>
      <c r="E287" s="4" t="s">
        <v>18</v>
      </c>
      <c r="H287" s="4" t="s">
        <v>70</v>
      </c>
      <c r="I287" s="6" t="s">
        <v>38</v>
      </c>
      <c r="L287" s="4" t="s">
        <v>24</v>
      </c>
      <c r="M287" s="7">
        <v>78226.0</v>
      </c>
      <c r="N287" s="7">
        <v>16769.0</v>
      </c>
      <c r="O287" s="7">
        <v>4208.0</v>
      </c>
      <c r="P287" s="8"/>
    </row>
    <row r="288" ht="14.25" customHeight="1">
      <c r="A288" s="4" t="s">
        <v>1068</v>
      </c>
      <c r="B288" s="4" t="s">
        <v>1069</v>
      </c>
      <c r="C288" s="4" t="s">
        <v>1068</v>
      </c>
      <c r="D288" s="5">
        <v>722342.0</v>
      </c>
      <c r="E288" s="4" t="s">
        <v>18</v>
      </c>
      <c r="H288" s="4" t="s">
        <v>1070</v>
      </c>
      <c r="I288" s="6" t="s">
        <v>353</v>
      </c>
      <c r="L288" s="4" t="s">
        <v>39</v>
      </c>
      <c r="M288" s="7">
        <v>424.0</v>
      </c>
      <c r="N288" s="7">
        <v>44798.0</v>
      </c>
      <c r="O288" s="7">
        <v>323.0</v>
      </c>
      <c r="P288" s="8"/>
    </row>
    <row r="289" ht="14.25" customHeight="1">
      <c r="A289" s="4" t="s">
        <v>1071</v>
      </c>
      <c r="B289" s="4" t="s">
        <v>1072</v>
      </c>
      <c r="D289" s="5">
        <v>410045.0</v>
      </c>
      <c r="E289" s="4" t="s">
        <v>27</v>
      </c>
      <c r="F289" s="4" t="s">
        <v>305</v>
      </c>
      <c r="G289" s="4" t="s">
        <v>1073</v>
      </c>
      <c r="L289" s="4" t="s">
        <v>34</v>
      </c>
      <c r="M289" s="7">
        <v>718.0</v>
      </c>
      <c r="N289" s="7">
        <v>6936.0</v>
      </c>
      <c r="O289" s="7">
        <v>495.0</v>
      </c>
      <c r="P289" s="8"/>
    </row>
    <row r="290" ht="14.25" customHeight="1">
      <c r="A290" s="4" t="s">
        <v>1074</v>
      </c>
      <c r="B290" s="4" t="s">
        <v>1075</v>
      </c>
      <c r="C290" s="4" t="s">
        <v>1074</v>
      </c>
      <c r="D290" s="5">
        <v>4113343.0</v>
      </c>
      <c r="E290" s="4" t="s">
        <v>27</v>
      </c>
      <c r="F290" s="4" t="s">
        <v>454</v>
      </c>
      <c r="G290" s="4" t="s">
        <v>1076</v>
      </c>
      <c r="L290" s="4" t="s">
        <v>34</v>
      </c>
      <c r="M290" s="7">
        <v>84.0</v>
      </c>
      <c r="N290" s="7">
        <v>20.0</v>
      </c>
      <c r="O290" s="7">
        <v>79.0</v>
      </c>
      <c r="P290" s="8"/>
    </row>
    <row r="291" ht="14.25" customHeight="1">
      <c r="A291" s="6" t="s">
        <v>1077</v>
      </c>
      <c r="B291" s="6" t="s">
        <v>1078</v>
      </c>
      <c r="C291" s="6" t="s">
        <v>1077</v>
      </c>
      <c r="D291" s="10">
        <v>3312888.0</v>
      </c>
      <c r="E291" s="6" t="s">
        <v>18</v>
      </c>
      <c r="F291" s="6" t="s">
        <v>1079</v>
      </c>
      <c r="G291" s="6" t="s">
        <v>1080</v>
      </c>
      <c r="H291" s="6" t="s">
        <v>1081</v>
      </c>
      <c r="I291" s="6" t="s">
        <v>703</v>
      </c>
      <c r="J291" s="6" t="s">
        <v>1082</v>
      </c>
      <c r="L291" s="6" t="s">
        <v>1083</v>
      </c>
      <c r="M291" s="12">
        <v>5017.0</v>
      </c>
      <c r="N291" s="12">
        <v>10391.0</v>
      </c>
      <c r="O291" s="12">
        <v>2341.0</v>
      </c>
      <c r="P291" s="13" t="s">
        <v>40</v>
      </c>
    </row>
    <row r="292" ht="14.25" customHeight="1">
      <c r="A292" s="4" t="s">
        <v>1084</v>
      </c>
      <c r="B292" s="4" t="s">
        <v>1085</v>
      </c>
      <c r="C292" s="4" t="s">
        <v>1084</v>
      </c>
      <c r="D292" s="5">
        <v>1322096.0</v>
      </c>
      <c r="E292" s="4" t="s">
        <v>18</v>
      </c>
      <c r="H292" s="4" t="s">
        <v>1086</v>
      </c>
      <c r="I292" s="6" t="s">
        <v>63</v>
      </c>
      <c r="L292" s="4" t="s">
        <v>65</v>
      </c>
      <c r="M292" s="7">
        <v>2146.0</v>
      </c>
      <c r="N292" s="7">
        <v>21882.0</v>
      </c>
      <c r="O292" s="7">
        <v>402.0</v>
      </c>
      <c r="P292" s="9" t="s">
        <v>40</v>
      </c>
    </row>
    <row r="293" ht="14.25" customHeight="1">
      <c r="A293" s="6" t="s">
        <v>1087</v>
      </c>
      <c r="B293" s="6" t="s">
        <v>1088</v>
      </c>
      <c r="C293" s="6" t="s">
        <v>1087</v>
      </c>
      <c r="D293" s="10">
        <v>601645.0</v>
      </c>
      <c r="E293" s="6" t="s">
        <v>18</v>
      </c>
      <c r="F293" s="6" t="s">
        <v>1089</v>
      </c>
      <c r="G293" s="6" t="s">
        <v>1090</v>
      </c>
      <c r="H293" s="6" t="s">
        <v>70</v>
      </c>
      <c r="I293" s="6" t="s">
        <v>38</v>
      </c>
      <c r="J293" s="6" t="s">
        <v>1091</v>
      </c>
      <c r="L293" s="6" t="s">
        <v>71</v>
      </c>
      <c r="M293" s="7">
        <v>3238.0</v>
      </c>
      <c r="N293" s="7">
        <v>34331.0</v>
      </c>
      <c r="O293" s="7">
        <v>1359.0</v>
      </c>
      <c r="P293" s="8"/>
    </row>
    <row r="294" ht="14.25" customHeight="1">
      <c r="A294" s="4" t="s">
        <v>1092</v>
      </c>
      <c r="B294" s="4" t="s">
        <v>1093</v>
      </c>
      <c r="C294" s="4" t="s">
        <v>1092</v>
      </c>
      <c r="D294" s="5">
        <v>133631.0</v>
      </c>
      <c r="E294" s="4" t="s">
        <v>18</v>
      </c>
      <c r="H294" s="4" t="s">
        <v>771</v>
      </c>
      <c r="I294" s="6" t="s">
        <v>772</v>
      </c>
      <c r="L294" s="4" t="s">
        <v>65</v>
      </c>
      <c r="M294" s="7">
        <v>35.0</v>
      </c>
      <c r="N294" s="7">
        <v>2673.0</v>
      </c>
      <c r="O294" s="7">
        <v>28.0</v>
      </c>
      <c r="P294" s="8"/>
    </row>
    <row r="295" ht="14.25" customHeight="1">
      <c r="A295" s="4" t="s">
        <v>1094</v>
      </c>
      <c r="B295" s="4" t="s">
        <v>1095</v>
      </c>
      <c r="D295" s="5">
        <v>3244461.0</v>
      </c>
      <c r="E295" s="4" t="s">
        <v>43</v>
      </c>
      <c r="F295" s="4" t="s">
        <v>19</v>
      </c>
      <c r="G295" s="4" t="s">
        <v>1096</v>
      </c>
      <c r="H295" s="4" t="s">
        <v>70</v>
      </c>
      <c r="I295" s="6" t="s">
        <v>38</v>
      </c>
      <c r="L295" s="4" t="s">
        <v>24</v>
      </c>
      <c r="M295" s="7">
        <v>4.0</v>
      </c>
      <c r="N295" s="7">
        <v>165.0</v>
      </c>
      <c r="O295" s="7">
        <v>2.0</v>
      </c>
      <c r="P295" s="8"/>
    </row>
    <row r="296" ht="14.25" customHeight="1">
      <c r="A296" s="4" t="s">
        <v>1097</v>
      </c>
      <c r="B296" s="4" t="s">
        <v>1098</v>
      </c>
      <c r="C296" s="4" t="s">
        <v>1099</v>
      </c>
      <c r="D296" s="5">
        <v>200221.0</v>
      </c>
      <c r="E296" s="4" t="s">
        <v>27</v>
      </c>
      <c r="F296" s="4" t="s">
        <v>420</v>
      </c>
      <c r="G296" s="4" t="s">
        <v>758</v>
      </c>
      <c r="L296" s="4" t="s">
        <v>34</v>
      </c>
      <c r="M296" s="7">
        <v>1885.0</v>
      </c>
      <c r="N296" s="7">
        <v>621.0</v>
      </c>
      <c r="O296" s="7">
        <v>895.0</v>
      </c>
      <c r="P296" s="8"/>
    </row>
    <row r="297" ht="14.25" customHeight="1">
      <c r="A297" s="4" t="s">
        <v>1100</v>
      </c>
      <c r="B297" s="4" t="s">
        <v>1101</v>
      </c>
      <c r="C297" s="4" t="s">
        <v>1100</v>
      </c>
      <c r="D297" s="5">
        <v>44269.0</v>
      </c>
      <c r="E297" s="4" t="s">
        <v>27</v>
      </c>
      <c r="F297" s="4" t="s">
        <v>79</v>
      </c>
      <c r="G297" s="4" t="s">
        <v>1102</v>
      </c>
      <c r="H297" s="4" t="s">
        <v>1103</v>
      </c>
      <c r="I297" s="6" t="s">
        <v>1104</v>
      </c>
      <c r="L297" s="4" t="s">
        <v>34</v>
      </c>
      <c r="M297" s="7">
        <v>380.0</v>
      </c>
      <c r="N297" s="7">
        <v>2161.0</v>
      </c>
      <c r="O297" s="7">
        <v>212.0</v>
      </c>
      <c r="P297" s="8"/>
    </row>
    <row r="298" ht="14.25" customHeight="1">
      <c r="A298" s="4" t="s">
        <v>1105</v>
      </c>
      <c r="B298" s="4" t="s">
        <v>1106</v>
      </c>
      <c r="C298" s="4" t="s">
        <v>1105</v>
      </c>
      <c r="D298" s="5">
        <v>527710.0</v>
      </c>
      <c r="E298" s="4" t="s">
        <v>18</v>
      </c>
      <c r="H298" s="4" t="s">
        <v>141</v>
      </c>
      <c r="I298" s="6" t="s">
        <v>142</v>
      </c>
      <c r="J298" s="4" t="s">
        <v>1107</v>
      </c>
      <c r="L298" s="4" t="s">
        <v>65</v>
      </c>
      <c r="M298" s="7">
        <v>377.0</v>
      </c>
      <c r="N298" s="7">
        <v>59932.0</v>
      </c>
      <c r="O298" s="7">
        <v>225.0</v>
      </c>
      <c r="P298" s="9" t="s">
        <v>40</v>
      </c>
    </row>
    <row r="299" ht="14.25" customHeight="1">
      <c r="A299" s="4" t="s">
        <v>1108</v>
      </c>
      <c r="B299" s="4" t="s">
        <v>1109</v>
      </c>
      <c r="D299" s="5">
        <v>5217573.0</v>
      </c>
      <c r="E299" s="4" t="s">
        <v>18</v>
      </c>
      <c r="F299" s="4" t="s">
        <v>1110</v>
      </c>
      <c r="G299" s="4" t="s">
        <v>1111</v>
      </c>
      <c r="H299" s="4" t="s">
        <v>1112</v>
      </c>
      <c r="I299" s="6" t="s">
        <v>45</v>
      </c>
      <c r="L299" s="4" t="s">
        <v>24</v>
      </c>
      <c r="M299" s="7">
        <v>4382.0</v>
      </c>
      <c r="N299" s="7">
        <v>3864.0</v>
      </c>
      <c r="O299" s="7">
        <v>2219.0</v>
      </c>
      <c r="P299" s="8"/>
    </row>
    <row r="300" ht="14.25" customHeight="1">
      <c r="A300" s="4" t="s">
        <v>1113</v>
      </c>
      <c r="B300" s="4" t="s">
        <v>1114</v>
      </c>
      <c r="C300" s="4" t="s">
        <v>1115</v>
      </c>
      <c r="D300" s="5">
        <v>574531.0</v>
      </c>
      <c r="E300" s="4" t="s">
        <v>18</v>
      </c>
      <c r="H300" s="4" t="s">
        <v>1116</v>
      </c>
      <c r="I300" s="6" t="s">
        <v>63</v>
      </c>
      <c r="L300" s="4" t="s">
        <v>378</v>
      </c>
      <c r="M300" s="7">
        <v>34317.0</v>
      </c>
      <c r="N300" s="7">
        <v>104540.0</v>
      </c>
      <c r="O300" s="7">
        <v>7720.0</v>
      </c>
      <c r="P300" s="9" t="s">
        <v>40</v>
      </c>
    </row>
    <row r="301" ht="14.25" customHeight="1">
      <c r="A301" s="4" t="s">
        <v>1117</v>
      </c>
      <c r="B301" s="4" t="s">
        <v>1118</v>
      </c>
      <c r="C301" s="4" t="s">
        <v>1117</v>
      </c>
      <c r="D301" s="5">
        <v>186163.0</v>
      </c>
      <c r="E301" s="4" t="s">
        <v>18</v>
      </c>
      <c r="H301" s="4" t="s">
        <v>1119</v>
      </c>
      <c r="I301" s="6" t="s">
        <v>1120</v>
      </c>
      <c r="L301" s="4" t="s">
        <v>39</v>
      </c>
      <c r="M301" s="7">
        <v>28330.0</v>
      </c>
      <c r="N301" s="7">
        <v>166352.0</v>
      </c>
      <c r="O301" s="7">
        <v>5471.0</v>
      </c>
      <c r="P301" s="9" t="s">
        <v>40</v>
      </c>
    </row>
    <row r="302" ht="14.25" customHeight="1">
      <c r="A302" s="4" t="s">
        <v>1121</v>
      </c>
      <c r="B302" s="4" t="s">
        <v>1122</v>
      </c>
      <c r="C302" s="4" t="s">
        <v>1121</v>
      </c>
      <c r="D302" s="5">
        <v>2041339.0</v>
      </c>
      <c r="E302" s="4" t="s">
        <v>18</v>
      </c>
      <c r="H302" s="4" t="s">
        <v>213</v>
      </c>
      <c r="I302" s="6" t="s">
        <v>214</v>
      </c>
      <c r="J302" s="4" t="s">
        <v>952</v>
      </c>
      <c r="L302" s="4" t="s">
        <v>24</v>
      </c>
      <c r="M302" s="7">
        <v>15564.0</v>
      </c>
      <c r="N302" s="7">
        <v>23550.0</v>
      </c>
      <c r="O302" s="7">
        <v>2823.0</v>
      </c>
      <c r="P302" s="8"/>
    </row>
    <row r="303" ht="14.25" customHeight="1">
      <c r="A303" s="4" t="s">
        <v>1123</v>
      </c>
      <c r="B303" s="4" t="s">
        <v>1124</v>
      </c>
      <c r="C303" s="4" t="s">
        <v>1123</v>
      </c>
      <c r="D303" s="5">
        <v>177046.0</v>
      </c>
      <c r="E303" s="4" t="s">
        <v>18</v>
      </c>
      <c r="H303" s="4" t="s">
        <v>1125</v>
      </c>
      <c r="I303" s="6" t="s">
        <v>1126</v>
      </c>
      <c r="L303" s="4" t="s">
        <v>24</v>
      </c>
      <c r="M303" s="7">
        <v>3884.0</v>
      </c>
      <c r="N303" s="7">
        <v>9381.0</v>
      </c>
      <c r="O303" s="7">
        <v>900.0</v>
      </c>
      <c r="P303" s="8"/>
    </row>
    <row r="304" ht="14.25" customHeight="1">
      <c r="A304" s="4" t="s">
        <v>1127</v>
      </c>
      <c r="B304" s="4" t="s">
        <v>1128</v>
      </c>
      <c r="C304" s="4" t="s">
        <v>1127</v>
      </c>
      <c r="D304" s="5">
        <v>155822.0</v>
      </c>
      <c r="E304" s="4" t="s">
        <v>27</v>
      </c>
      <c r="F304" s="4" t="s">
        <v>545</v>
      </c>
      <c r="G304" s="4" t="s">
        <v>1129</v>
      </c>
      <c r="H304" s="4" t="s">
        <v>1130</v>
      </c>
      <c r="I304" s="6" t="s">
        <v>1131</v>
      </c>
      <c r="L304" s="4" t="s">
        <v>1132</v>
      </c>
      <c r="M304" s="7">
        <v>4286.0</v>
      </c>
      <c r="N304" s="7">
        <v>29430.0</v>
      </c>
      <c r="O304" s="7">
        <v>1528.0</v>
      </c>
      <c r="P304" s="9" t="s">
        <v>40</v>
      </c>
    </row>
    <row r="305" ht="14.25" customHeight="1">
      <c r="A305" s="4" t="s">
        <v>1133</v>
      </c>
      <c r="B305" s="4" t="s">
        <v>1134</v>
      </c>
      <c r="C305" s="4" t="s">
        <v>1133</v>
      </c>
      <c r="D305" s="5">
        <v>691641.0</v>
      </c>
      <c r="E305" s="4" t="s">
        <v>27</v>
      </c>
      <c r="F305" s="4" t="s">
        <v>545</v>
      </c>
      <c r="G305" s="4" t="s">
        <v>1135</v>
      </c>
      <c r="L305" s="4" t="s">
        <v>34</v>
      </c>
      <c r="M305" s="7">
        <v>197.0</v>
      </c>
      <c r="N305" s="7">
        <v>2.0</v>
      </c>
      <c r="O305" s="7">
        <v>146.0</v>
      </c>
      <c r="P305" s="8"/>
    </row>
    <row r="306" ht="14.25" customHeight="1">
      <c r="A306" s="4" t="s">
        <v>1136</v>
      </c>
      <c r="B306" s="4" t="s">
        <v>1137</v>
      </c>
      <c r="C306" s="4" t="s">
        <v>1136</v>
      </c>
      <c r="D306" s="5">
        <v>51061.0</v>
      </c>
      <c r="E306" s="4" t="s">
        <v>18</v>
      </c>
      <c r="H306" s="6" t="s">
        <v>70</v>
      </c>
      <c r="I306" s="6" t="s">
        <v>38</v>
      </c>
      <c r="L306" s="4" t="s">
        <v>39</v>
      </c>
      <c r="M306" s="7">
        <v>2735.0</v>
      </c>
      <c r="N306" s="7">
        <v>106862.0</v>
      </c>
      <c r="O306" s="7">
        <v>1229.0</v>
      </c>
      <c r="P306" s="9" t="s">
        <v>40</v>
      </c>
    </row>
    <row r="307" ht="14.25" customHeight="1">
      <c r="A307" s="4" t="s">
        <v>1138</v>
      </c>
      <c r="B307" s="4" t="s">
        <v>1139</v>
      </c>
      <c r="C307" s="4" t="s">
        <v>1138</v>
      </c>
      <c r="D307" s="5">
        <v>858074.0</v>
      </c>
      <c r="E307" s="4" t="s">
        <v>18</v>
      </c>
      <c r="H307" s="4" t="s">
        <v>435</v>
      </c>
      <c r="I307" s="6" t="s">
        <v>436</v>
      </c>
      <c r="L307" s="4" t="s">
        <v>24</v>
      </c>
      <c r="M307" s="7">
        <v>635.0</v>
      </c>
      <c r="N307" s="7">
        <v>1395.0</v>
      </c>
      <c r="O307" s="7">
        <v>208.0</v>
      </c>
      <c r="P307" s="8"/>
    </row>
    <row r="308" ht="14.25" customHeight="1">
      <c r="A308" s="6" t="s">
        <v>1140</v>
      </c>
      <c r="B308" s="6" t="s">
        <v>1141</v>
      </c>
      <c r="C308" s="6" t="s">
        <v>1140</v>
      </c>
      <c r="D308" s="10">
        <v>1079214.0</v>
      </c>
      <c r="E308" s="6" t="s">
        <v>18</v>
      </c>
      <c r="H308" s="6" t="s">
        <v>70</v>
      </c>
      <c r="I308" s="6" t="s">
        <v>38</v>
      </c>
      <c r="J308" s="6" t="s">
        <v>1142</v>
      </c>
      <c r="K308" s="6" t="s">
        <v>1143</v>
      </c>
      <c r="L308" s="6" t="s">
        <v>1144</v>
      </c>
      <c r="M308" s="12">
        <v>3648.0</v>
      </c>
      <c r="N308" s="12">
        <v>160919.0</v>
      </c>
      <c r="O308" s="12">
        <v>863.0</v>
      </c>
      <c r="P308" s="8"/>
    </row>
    <row r="309" ht="14.25" customHeight="1">
      <c r="A309" s="4" t="s">
        <v>1145</v>
      </c>
      <c r="B309" s="4" t="s">
        <v>1146</v>
      </c>
      <c r="C309" s="4" t="s">
        <v>1147</v>
      </c>
      <c r="D309" s="5">
        <v>2422572.0</v>
      </c>
      <c r="E309" s="4" t="s">
        <v>27</v>
      </c>
      <c r="F309" s="4" t="s">
        <v>500</v>
      </c>
      <c r="G309" s="4" t="s">
        <v>1148</v>
      </c>
      <c r="L309" s="4" t="s">
        <v>34</v>
      </c>
      <c r="M309" s="7">
        <v>417.0</v>
      </c>
      <c r="N309" s="7">
        <v>28049.0</v>
      </c>
      <c r="O309" s="7">
        <v>264.0</v>
      </c>
      <c r="P309" s="8"/>
    </row>
    <row r="310" ht="14.25" customHeight="1">
      <c r="A310" s="6" t="s">
        <v>1149</v>
      </c>
      <c r="B310" s="6" t="s">
        <v>1150</v>
      </c>
      <c r="C310" s="6" t="s">
        <v>1149</v>
      </c>
      <c r="D310" s="10">
        <v>6918221.0</v>
      </c>
      <c r="E310" s="6" t="s">
        <v>18</v>
      </c>
      <c r="H310" s="6" t="s">
        <v>1151</v>
      </c>
      <c r="I310" s="6" t="s">
        <v>1152</v>
      </c>
      <c r="L310" s="6" t="s">
        <v>1153</v>
      </c>
      <c r="M310" s="12">
        <v>232.0</v>
      </c>
      <c r="N310" s="12">
        <v>132.0</v>
      </c>
      <c r="O310" s="12">
        <v>144.0</v>
      </c>
      <c r="P310" s="8"/>
    </row>
    <row r="311" ht="14.25" customHeight="1">
      <c r="A311" s="4" t="s">
        <v>1154</v>
      </c>
      <c r="B311" s="4" t="s">
        <v>1155</v>
      </c>
      <c r="C311" s="4" t="s">
        <v>1154</v>
      </c>
      <c r="D311" s="5">
        <v>3275871.0</v>
      </c>
      <c r="E311" s="4" t="s">
        <v>27</v>
      </c>
      <c r="F311" s="4" t="s">
        <v>1156</v>
      </c>
      <c r="G311" s="4" t="s">
        <v>1157</v>
      </c>
      <c r="L311" s="4" t="s">
        <v>34</v>
      </c>
      <c r="M311" s="7">
        <v>2.0</v>
      </c>
      <c r="N311" s="7">
        <v>0.0</v>
      </c>
      <c r="O311" s="7">
        <v>2.0</v>
      </c>
      <c r="P311" s="8"/>
    </row>
    <row r="312" ht="14.25" customHeight="1">
      <c r="A312" s="4" t="s">
        <v>1158</v>
      </c>
      <c r="B312" s="4" t="s">
        <v>1159</v>
      </c>
      <c r="C312" s="4" t="s">
        <v>1158</v>
      </c>
      <c r="D312" s="5">
        <v>520124.0</v>
      </c>
      <c r="E312" s="4" t="s">
        <v>18</v>
      </c>
      <c r="H312" s="4" t="s">
        <v>296</v>
      </c>
      <c r="I312" s="6" t="s">
        <v>294</v>
      </c>
      <c r="L312" s="4" t="s">
        <v>24</v>
      </c>
      <c r="M312" s="7">
        <v>10912.0</v>
      </c>
      <c r="N312" s="7">
        <v>17.0</v>
      </c>
      <c r="O312" s="7">
        <v>2552.0</v>
      </c>
      <c r="P312" s="8"/>
    </row>
    <row r="313" ht="14.25" customHeight="1">
      <c r="A313" s="4" t="s">
        <v>1160</v>
      </c>
      <c r="B313" s="4" t="s">
        <v>1161</v>
      </c>
      <c r="C313" s="4" t="s">
        <v>1160</v>
      </c>
      <c r="D313" s="5">
        <v>252977.0</v>
      </c>
      <c r="E313" s="4" t="s">
        <v>18</v>
      </c>
      <c r="H313" s="4" t="s">
        <v>296</v>
      </c>
      <c r="I313" s="6" t="s">
        <v>294</v>
      </c>
      <c r="L313" s="4" t="s">
        <v>39</v>
      </c>
      <c r="M313" s="7">
        <v>5217.0</v>
      </c>
      <c r="N313" s="7">
        <v>45774.0</v>
      </c>
      <c r="O313" s="7">
        <v>1152.0</v>
      </c>
      <c r="P313" s="8"/>
    </row>
    <row r="314" ht="14.25" customHeight="1">
      <c r="A314" s="4" t="s">
        <v>1162</v>
      </c>
      <c r="B314" s="4" t="s">
        <v>1163</v>
      </c>
      <c r="C314" s="4" t="s">
        <v>1162</v>
      </c>
      <c r="D314" s="5">
        <v>2209598.0</v>
      </c>
      <c r="E314" s="4" t="s">
        <v>18</v>
      </c>
      <c r="H314" s="4" t="s">
        <v>70</v>
      </c>
      <c r="I314" s="6" t="s">
        <v>38</v>
      </c>
      <c r="J314" s="4" t="s">
        <v>1164</v>
      </c>
      <c r="L314" s="4" t="s">
        <v>39</v>
      </c>
      <c r="M314" s="7">
        <v>20475.0</v>
      </c>
      <c r="N314" s="7">
        <v>67372.0</v>
      </c>
      <c r="O314" s="7">
        <v>2402.0</v>
      </c>
      <c r="P314" s="8"/>
    </row>
    <row r="315" ht="14.25" customHeight="1">
      <c r="A315" s="4" t="s">
        <v>1165</v>
      </c>
      <c r="B315" s="4" t="s">
        <v>1166</v>
      </c>
      <c r="C315" s="4" t="s">
        <v>1165</v>
      </c>
      <c r="D315" s="5">
        <v>130834.0</v>
      </c>
      <c r="E315" s="4" t="s">
        <v>18</v>
      </c>
      <c r="G315" s="4" t="s">
        <v>1167</v>
      </c>
      <c r="L315" s="4" t="s">
        <v>29</v>
      </c>
      <c r="M315" s="7">
        <v>2301.0</v>
      </c>
      <c r="N315" s="7">
        <v>2227.0</v>
      </c>
      <c r="O315" s="7">
        <v>1138.0</v>
      </c>
      <c r="P315" s="9" t="s">
        <v>40</v>
      </c>
    </row>
    <row r="316" ht="14.25" customHeight="1">
      <c r="A316" s="4" t="s">
        <v>1168</v>
      </c>
      <c r="B316" s="4" t="s">
        <v>1169</v>
      </c>
      <c r="C316" s="4" t="s">
        <v>1168</v>
      </c>
      <c r="D316" s="5">
        <v>512897.0</v>
      </c>
      <c r="E316" s="4" t="s">
        <v>27</v>
      </c>
      <c r="F316" s="4" t="s">
        <v>623</v>
      </c>
      <c r="G316" s="4" t="s">
        <v>393</v>
      </c>
      <c r="L316" s="4" t="s">
        <v>34</v>
      </c>
      <c r="M316" s="7">
        <v>388.0</v>
      </c>
      <c r="N316" s="7">
        <v>2.0</v>
      </c>
      <c r="O316" s="7">
        <v>251.0</v>
      </c>
      <c r="P316" s="8"/>
    </row>
    <row r="317" ht="14.25" customHeight="1">
      <c r="A317" s="4" t="s">
        <v>1170</v>
      </c>
      <c r="B317" s="4" t="s">
        <v>1171</v>
      </c>
      <c r="C317" s="4" t="s">
        <v>1172</v>
      </c>
      <c r="D317" s="5">
        <v>151757.0</v>
      </c>
      <c r="E317" s="4" t="s">
        <v>18</v>
      </c>
      <c r="H317" s="4" t="s">
        <v>193</v>
      </c>
      <c r="I317" s="6" t="s">
        <v>63</v>
      </c>
      <c r="L317" s="4" t="s">
        <v>24</v>
      </c>
      <c r="M317" s="7">
        <v>7130.0</v>
      </c>
      <c r="N317" s="7">
        <v>1664.0</v>
      </c>
      <c r="O317" s="7">
        <v>3336.0</v>
      </c>
      <c r="P317" s="9" t="s">
        <v>40</v>
      </c>
    </row>
    <row r="318" ht="14.25" customHeight="1">
      <c r="A318" s="4" t="s">
        <v>1173</v>
      </c>
      <c r="B318" s="4" t="s">
        <v>1174</v>
      </c>
      <c r="C318" s="4" t="s">
        <v>1173</v>
      </c>
      <c r="D318" s="5">
        <v>13935.0</v>
      </c>
      <c r="E318" s="4" t="s">
        <v>18</v>
      </c>
      <c r="H318" s="4" t="s">
        <v>182</v>
      </c>
      <c r="I318" s="6" t="s">
        <v>126</v>
      </c>
      <c r="J318" s="4" t="s">
        <v>1175</v>
      </c>
      <c r="L318" s="4" t="s">
        <v>65</v>
      </c>
      <c r="M318" s="7">
        <v>30476.0</v>
      </c>
      <c r="N318" s="7">
        <v>19967.0</v>
      </c>
      <c r="O318" s="7">
        <v>7004.0</v>
      </c>
      <c r="P318" s="8"/>
    </row>
    <row r="319" ht="14.25" customHeight="1">
      <c r="A319" s="4" t="s">
        <v>1176</v>
      </c>
      <c r="B319" s="4" t="s">
        <v>1177</v>
      </c>
      <c r="C319" s="4" t="s">
        <v>1176</v>
      </c>
      <c r="D319" s="5">
        <v>459807.0</v>
      </c>
      <c r="E319" s="4" t="s">
        <v>27</v>
      </c>
      <c r="F319" s="4" t="s">
        <v>462</v>
      </c>
      <c r="G319" s="4" t="s">
        <v>1178</v>
      </c>
      <c r="L319" s="4" t="s">
        <v>34</v>
      </c>
      <c r="M319" s="7">
        <v>448.0</v>
      </c>
      <c r="N319" s="7">
        <v>34.0</v>
      </c>
      <c r="O319" s="7">
        <v>333.0</v>
      </c>
      <c r="P319" s="8"/>
    </row>
    <row r="320" ht="14.25" customHeight="1">
      <c r="A320" s="4" t="s">
        <v>1179</v>
      </c>
      <c r="B320" s="4" t="s">
        <v>1180</v>
      </c>
      <c r="C320" s="4" t="s">
        <v>1181</v>
      </c>
      <c r="D320" s="5">
        <v>2168790.0</v>
      </c>
      <c r="E320" s="4" t="s">
        <v>18</v>
      </c>
      <c r="H320" s="4" t="s">
        <v>1182</v>
      </c>
      <c r="I320" s="6" t="s">
        <v>1183</v>
      </c>
      <c r="L320" s="4" t="s">
        <v>65</v>
      </c>
      <c r="M320" s="7">
        <v>9748.0</v>
      </c>
      <c r="N320" s="7">
        <v>82.0</v>
      </c>
      <c r="O320" s="7">
        <v>6987.0</v>
      </c>
      <c r="P320" s="8"/>
    </row>
    <row r="321" ht="14.25" customHeight="1">
      <c r="A321" s="4" t="s">
        <v>1184</v>
      </c>
      <c r="B321" s="4" t="s">
        <v>1185</v>
      </c>
      <c r="C321" s="4" t="s">
        <v>1184</v>
      </c>
      <c r="D321" s="5">
        <v>2753018.0</v>
      </c>
      <c r="E321" s="4" t="s">
        <v>18</v>
      </c>
      <c r="H321" s="4" t="s">
        <v>1186</v>
      </c>
      <c r="I321" s="6" t="s">
        <v>1187</v>
      </c>
      <c r="L321" s="4" t="s">
        <v>24</v>
      </c>
      <c r="M321" s="7">
        <v>4985.0</v>
      </c>
      <c r="N321" s="7">
        <v>55800.0</v>
      </c>
      <c r="O321" s="7">
        <v>1800.0</v>
      </c>
      <c r="P321" s="9" t="s">
        <v>40</v>
      </c>
    </row>
    <row r="322" ht="14.25" customHeight="1">
      <c r="A322" s="4" t="s">
        <v>1188</v>
      </c>
      <c r="B322" s="4" t="s">
        <v>1189</v>
      </c>
      <c r="C322" s="4" t="s">
        <v>1190</v>
      </c>
      <c r="D322" s="5">
        <v>1219746.0</v>
      </c>
      <c r="E322" s="4" t="s">
        <v>18</v>
      </c>
      <c r="H322" s="4" t="s">
        <v>1191</v>
      </c>
      <c r="I322" s="6" t="s">
        <v>126</v>
      </c>
      <c r="L322" s="4" t="s">
        <v>65</v>
      </c>
      <c r="M322" s="7">
        <v>1756.0</v>
      </c>
      <c r="N322" s="7">
        <v>10076.0</v>
      </c>
      <c r="O322" s="7">
        <v>1015.0</v>
      </c>
      <c r="P322" s="8"/>
    </row>
    <row r="323" ht="14.25" customHeight="1">
      <c r="A323" s="4" t="s">
        <v>1192</v>
      </c>
      <c r="B323" s="4" t="s">
        <v>1193</v>
      </c>
      <c r="C323" s="4" t="s">
        <v>1192</v>
      </c>
      <c r="D323" s="5">
        <v>1280294.0</v>
      </c>
      <c r="E323" s="4" t="s">
        <v>27</v>
      </c>
      <c r="F323" s="4" t="s">
        <v>228</v>
      </c>
      <c r="G323" s="4" t="s">
        <v>168</v>
      </c>
      <c r="L323" s="4" t="s">
        <v>34</v>
      </c>
      <c r="M323" s="7">
        <v>3403.0</v>
      </c>
      <c r="N323" s="7">
        <v>622.0</v>
      </c>
      <c r="O323" s="7">
        <v>1472.0</v>
      </c>
      <c r="P323" s="8"/>
    </row>
    <row r="324" ht="14.25" customHeight="1">
      <c r="A324" s="4" t="s">
        <v>1194</v>
      </c>
      <c r="B324" s="4" t="s">
        <v>1195</v>
      </c>
      <c r="C324" s="4" t="s">
        <v>1194</v>
      </c>
      <c r="D324" s="5">
        <v>2082701.0</v>
      </c>
      <c r="E324" s="4" t="s">
        <v>27</v>
      </c>
      <c r="F324" s="4" t="s">
        <v>392</v>
      </c>
      <c r="G324" s="4" t="s">
        <v>1196</v>
      </c>
      <c r="L324" s="4" t="s">
        <v>34</v>
      </c>
      <c r="M324" s="7">
        <v>95.0</v>
      </c>
      <c r="N324" s="7">
        <v>2.0</v>
      </c>
      <c r="O324" s="7">
        <v>83.0</v>
      </c>
      <c r="P324" s="8"/>
    </row>
    <row r="325" ht="14.25" customHeight="1">
      <c r="A325" s="4" t="s">
        <v>1197</v>
      </c>
      <c r="B325" s="4" t="s">
        <v>1198</v>
      </c>
      <c r="C325" s="4" t="s">
        <v>1197</v>
      </c>
      <c r="D325" s="5">
        <v>744245.0</v>
      </c>
      <c r="E325" s="4" t="s">
        <v>27</v>
      </c>
      <c r="F325" s="4" t="s">
        <v>623</v>
      </c>
      <c r="G325" s="4" t="s">
        <v>1199</v>
      </c>
      <c r="L325" s="4" t="s">
        <v>34</v>
      </c>
      <c r="M325" s="7">
        <v>26.0</v>
      </c>
      <c r="N325" s="7">
        <v>12.0</v>
      </c>
      <c r="O325" s="7">
        <v>26.0</v>
      </c>
      <c r="P325" s="8"/>
    </row>
    <row r="326" ht="14.25" customHeight="1">
      <c r="A326" s="4" t="s">
        <v>1200</v>
      </c>
      <c r="B326" s="4" t="s">
        <v>1201</v>
      </c>
      <c r="C326" s="4" t="s">
        <v>1200</v>
      </c>
      <c r="D326" s="5">
        <v>1215803.0</v>
      </c>
      <c r="E326" s="4" t="s">
        <v>27</v>
      </c>
      <c r="F326" s="4" t="s">
        <v>861</v>
      </c>
      <c r="G326" s="4" t="s">
        <v>936</v>
      </c>
      <c r="L326" s="4" t="s">
        <v>34</v>
      </c>
      <c r="M326" s="7">
        <v>302.0</v>
      </c>
      <c r="N326" s="7">
        <v>620.0</v>
      </c>
      <c r="O326" s="7">
        <v>209.0</v>
      </c>
      <c r="P326" s="8"/>
    </row>
    <row r="327" ht="14.25" customHeight="1">
      <c r="A327" s="4" t="s">
        <v>1202</v>
      </c>
      <c r="B327" s="4" t="s">
        <v>1203</v>
      </c>
      <c r="D327" s="5">
        <v>583017.0</v>
      </c>
      <c r="E327" s="4" t="s">
        <v>27</v>
      </c>
      <c r="F327" s="4" t="s">
        <v>123</v>
      </c>
      <c r="G327" s="4" t="s">
        <v>447</v>
      </c>
      <c r="L327" s="4" t="s">
        <v>34</v>
      </c>
      <c r="M327" s="7">
        <v>163.0</v>
      </c>
      <c r="N327" s="7">
        <v>124.0</v>
      </c>
      <c r="O327" s="7">
        <v>90.0</v>
      </c>
      <c r="P327" s="8"/>
    </row>
    <row r="328" ht="14.25" customHeight="1">
      <c r="A328" s="4" t="s">
        <v>1204</v>
      </c>
      <c r="B328" s="4" t="s">
        <v>1205</v>
      </c>
      <c r="D328" s="5">
        <v>16726.0</v>
      </c>
      <c r="E328" s="4" t="s">
        <v>27</v>
      </c>
      <c r="F328" s="4" t="s">
        <v>623</v>
      </c>
      <c r="G328" s="4" t="s">
        <v>1206</v>
      </c>
      <c r="L328" s="4" t="s">
        <v>34</v>
      </c>
      <c r="M328" s="7">
        <v>498.0</v>
      </c>
      <c r="N328" s="7">
        <v>46.0</v>
      </c>
      <c r="O328" s="7">
        <v>377.0</v>
      </c>
      <c r="P328" s="8"/>
    </row>
    <row r="329" ht="14.25" customHeight="1">
      <c r="A329" s="4" t="s">
        <v>1207</v>
      </c>
      <c r="B329" s="4" t="s">
        <v>1208</v>
      </c>
      <c r="C329" s="4" t="s">
        <v>1207</v>
      </c>
      <c r="D329" s="5">
        <v>751958.0</v>
      </c>
      <c r="E329" s="4" t="s">
        <v>18</v>
      </c>
      <c r="H329" s="4" t="s">
        <v>106</v>
      </c>
      <c r="I329" s="6" t="s">
        <v>107</v>
      </c>
      <c r="L329" s="4" t="s">
        <v>24</v>
      </c>
      <c r="M329" s="7">
        <v>27955.0</v>
      </c>
      <c r="N329" s="7">
        <v>9905.0</v>
      </c>
      <c r="O329" s="7">
        <v>2853.0</v>
      </c>
      <c r="P329" s="8"/>
    </row>
    <row r="330" ht="14.25" customHeight="1">
      <c r="A330" s="4" t="s">
        <v>1209</v>
      </c>
      <c r="B330" s="4" t="s">
        <v>1210</v>
      </c>
      <c r="C330" s="4" t="s">
        <v>1209</v>
      </c>
      <c r="D330" s="5">
        <v>5152592.0</v>
      </c>
      <c r="E330" s="4" t="s">
        <v>27</v>
      </c>
      <c r="F330" s="4" t="s">
        <v>56</v>
      </c>
      <c r="G330" s="4" t="s">
        <v>1211</v>
      </c>
      <c r="L330" s="4" t="s">
        <v>34</v>
      </c>
      <c r="M330" s="7">
        <v>1.0</v>
      </c>
      <c r="N330" s="7">
        <v>0.0</v>
      </c>
      <c r="O330" s="7">
        <v>0.0</v>
      </c>
      <c r="P330" s="8"/>
    </row>
    <row r="331" ht="14.25" customHeight="1">
      <c r="A331" s="4" t="s">
        <v>1212</v>
      </c>
      <c r="B331" s="4" t="s">
        <v>1213</v>
      </c>
      <c r="D331" s="5">
        <v>6624.0</v>
      </c>
      <c r="E331" s="4" t="s">
        <v>18</v>
      </c>
      <c r="H331" s="4" t="s">
        <v>146</v>
      </c>
      <c r="I331" s="6" t="s">
        <v>147</v>
      </c>
      <c r="L331" s="4" t="s">
        <v>378</v>
      </c>
      <c r="M331" s="7">
        <v>23457.0</v>
      </c>
      <c r="N331" s="7">
        <v>119191.0</v>
      </c>
      <c r="O331" s="7">
        <v>3930.0</v>
      </c>
      <c r="P331" s="8"/>
    </row>
    <row r="332" ht="14.25" customHeight="1">
      <c r="A332" s="4" t="s">
        <v>1214</v>
      </c>
      <c r="B332" s="4" t="s">
        <v>1215</v>
      </c>
      <c r="C332" s="4" t="s">
        <v>1216</v>
      </c>
      <c r="D332" s="5">
        <v>2247642.0</v>
      </c>
      <c r="E332" s="4" t="s">
        <v>18</v>
      </c>
      <c r="H332" s="6" t="s">
        <v>1217</v>
      </c>
      <c r="I332" s="6" t="s">
        <v>1218</v>
      </c>
      <c r="L332" s="4" t="s">
        <v>65</v>
      </c>
      <c r="M332" s="7">
        <v>612.0</v>
      </c>
      <c r="N332" s="7">
        <v>4025.0</v>
      </c>
      <c r="O332" s="7">
        <v>545.0</v>
      </c>
      <c r="P332" s="8"/>
    </row>
    <row r="333" ht="14.25" customHeight="1">
      <c r="A333" s="6" t="s">
        <v>1219</v>
      </c>
      <c r="B333" s="6" t="s">
        <v>1220</v>
      </c>
      <c r="C333" s="6" t="s">
        <v>1219</v>
      </c>
      <c r="D333" s="10">
        <v>3186191.0</v>
      </c>
      <c r="E333" s="6" t="s">
        <v>18</v>
      </c>
      <c r="I333" s="6" t="s">
        <v>113</v>
      </c>
      <c r="J333" s="6" t="s">
        <v>1221</v>
      </c>
      <c r="L333" s="6" t="s">
        <v>115</v>
      </c>
      <c r="M333" s="12">
        <v>47.0</v>
      </c>
      <c r="N333" s="12">
        <v>1032.0</v>
      </c>
      <c r="O333" s="12">
        <v>21.0</v>
      </c>
      <c r="P333" s="8"/>
    </row>
    <row r="334" ht="14.25" customHeight="1">
      <c r="A334" s="4" t="s">
        <v>1222</v>
      </c>
      <c r="B334" s="4" t="s">
        <v>1223</v>
      </c>
      <c r="C334" s="4" t="s">
        <v>1222</v>
      </c>
      <c r="D334" s="5">
        <v>584526.0</v>
      </c>
      <c r="E334" s="4" t="s">
        <v>18</v>
      </c>
      <c r="H334" s="4" t="s">
        <v>984</v>
      </c>
      <c r="I334" s="6" t="s">
        <v>768</v>
      </c>
      <c r="L334" s="4" t="s">
        <v>24</v>
      </c>
      <c r="M334" s="7">
        <v>42833.0</v>
      </c>
      <c r="N334" s="7">
        <v>136316.0</v>
      </c>
      <c r="O334" s="7">
        <v>3783.0</v>
      </c>
      <c r="P334" s="8"/>
    </row>
    <row r="335" ht="14.25" customHeight="1">
      <c r="A335" s="4" t="s">
        <v>1224</v>
      </c>
      <c r="B335" s="4" t="s">
        <v>1225</v>
      </c>
      <c r="C335" s="4" t="s">
        <v>1224</v>
      </c>
      <c r="D335" s="5">
        <v>3891041.0</v>
      </c>
      <c r="E335" s="4" t="s">
        <v>18</v>
      </c>
      <c r="H335" s="4" t="s">
        <v>141</v>
      </c>
      <c r="I335" s="6" t="s">
        <v>142</v>
      </c>
      <c r="L335" s="4" t="s">
        <v>39</v>
      </c>
      <c r="M335" s="7">
        <v>1371.0</v>
      </c>
      <c r="N335" s="7">
        <v>9808.0</v>
      </c>
      <c r="O335" s="7">
        <v>541.0</v>
      </c>
      <c r="P335" s="8"/>
    </row>
    <row r="336" ht="14.25" customHeight="1">
      <c r="A336" s="4" t="s">
        <v>1226</v>
      </c>
      <c r="B336" s="4" t="s">
        <v>1227</v>
      </c>
      <c r="C336" s="4" t="s">
        <v>1226</v>
      </c>
      <c r="D336" s="5">
        <v>324301.0</v>
      </c>
      <c r="E336" s="4" t="s">
        <v>27</v>
      </c>
      <c r="F336" s="4" t="s">
        <v>507</v>
      </c>
      <c r="G336" s="4" t="s">
        <v>1076</v>
      </c>
      <c r="L336" s="4" t="s">
        <v>34</v>
      </c>
      <c r="M336" s="7">
        <v>3295.0</v>
      </c>
      <c r="N336" s="7">
        <v>54.0</v>
      </c>
      <c r="O336" s="7">
        <v>1530.0</v>
      </c>
      <c r="P336" s="8"/>
    </row>
    <row r="337" ht="14.25" customHeight="1">
      <c r="A337" s="4" t="s">
        <v>1228</v>
      </c>
      <c r="B337" s="4" t="s">
        <v>1229</v>
      </c>
      <c r="C337" s="4" t="s">
        <v>1228</v>
      </c>
      <c r="D337" s="5">
        <v>6934900.0</v>
      </c>
      <c r="E337" s="4" t="s">
        <v>27</v>
      </c>
      <c r="F337" s="4" t="s">
        <v>189</v>
      </c>
      <c r="G337" s="4" t="s">
        <v>1230</v>
      </c>
      <c r="L337" s="4" t="s">
        <v>34</v>
      </c>
      <c r="M337" s="7">
        <v>0.0</v>
      </c>
      <c r="N337" s="7">
        <v>0.0</v>
      </c>
      <c r="O337" s="7">
        <v>0.0</v>
      </c>
      <c r="P337" s="8"/>
    </row>
    <row r="338" ht="14.25" customHeight="1">
      <c r="A338" s="4" t="s">
        <v>1231</v>
      </c>
      <c r="B338" s="4" t="s">
        <v>1232</v>
      </c>
      <c r="C338" s="4" t="s">
        <v>1233</v>
      </c>
      <c r="D338" s="5">
        <v>419371.0</v>
      </c>
      <c r="E338" s="4" t="s">
        <v>18</v>
      </c>
      <c r="F338" s="6" t="s">
        <v>1234</v>
      </c>
      <c r="G338" s="6" t="s">
        <v>1235</v>
      </c>
      <c r="H338" s="4" t="s">
        <v>1236</v>
      </c>
      <c r="I338" s="6" t="s">
        <v>294</v>
      </c>
      <c r="J338" s="6" t="s">
        <v>1237</v>
      </c>
      <c r="L338" s="4" t="s">
        <v>1238</v>
      </c>
      <c r="M338" s="7">
        <v>8.0</v>
      </c>
      <c r="N338" s="7">
        <v>1489661.0</v>
      </c>
      <c r="O338" s="7">
        <v>8.0</v>
      </c>
      <c r="P338" s="9" t="s">
        <v>40</v>
      </c>
    </row>
    <row r="339" ht="14.25" customHeight="1">
      <c r="A339" s="4" t="s">
        <v>1239</v>
      </c>
      <c r="B339" s="4" t="s">
        <v>1240</v>
      </c>
      <c r="D339" s="5">
        <v>177047.0</v>
      </c>
      <c r="E339" s="4" t="s">
        <v>18</v>
      </c>
      <c r="H339" s="4" t="s">
        <v>1241</v>
      </c>
      <c r="I339" s="6" t="s">
        <v>1242</v>
      </c>
      <c r="L339" s="4" t="s">
        <v>65</v>
      </c>
      <c r="M339" s="7">
        <v>11464.0</v>
      </c>
      <c r="N339" s="7">
        <v>72944.0</v>
      </c>
      <c r="O339" s="7">
        <v>2905.0</v>
      </c>
      <c r="P339" s="8"/>
    </row>
    <row r="340" ht="14.25" customHeight="1">
      <c r="A340" s="4" t="s">
        <v>1243</v>
      </c>
      <c r="B340" s="4" t="s">
        <v>1244</v>
      </c>
      <c r="C340" s="4" t="s">
        <v>1245</v>
      </c>
      <c r="D340" s="5">
        <v>459348.0</v>
      </c>
      <c r="E340" s="4" t="s">
        <v>18</v>
      </c>
      <c r="L340" s="4" t="s">
        <v>24</v>
      </c>
      <c r="M340" s="7">
        <v>247645.0</v>
      </c>
      <c r="N340" s="7">
        <v>13652.0</v>
      </c>
      <c r="O340" s="7">
        <v>13049.0</v>
      </c>
      <c r="P340" s="8"/>
    </row>
    <row r="341" ht="14.25" customHeight="1">
      <c r="A341" s="4" t="s">
        <v>1246</v>
      </c>
      <c r="B341" s="4" t="s">
        <v>1247</v>
      </c>
      <c r="C341" s="4" t="s">
        <v>1246</v>
      </c>
      <c r="D341" s="5">
        <v>1468875.0</v>
      </c>
      <c r="E341" s="4" t="s">
        <v>18</v>
      </c>
      <c r="H341" s="4" t="s">
        <v>1248</v>
      </c>
      <c r="I341" s="6" t="s">
        <v>1249</v>
      </c>
      <c r="J341" s="4" t="s">
        <v>1250</v>
      </c>
      <c r="L341" s="4" t="s">
        <v>65</v>
      </c>
      <c r="M341" s="7">
        <v>24.0</v>
      </c>
      <c r="N341" s="7">
        <v>7231.0</v>
      </c>
      <c r="O341" s="7">
        <v>21.0</v>
      </c>
      <c r="P341" s="8"/>
    </row>
    <row r="342" ht="14.25" customHeight="1">
      <c r="A342" s="4" t="s">
        <v>1251</v>
      </c>
      <c r="B342" s="4" t="s">
        <v>1252</v>
      </c>
      <c r="C342" s="4" t="s">
        <v>1251</v>
      </c>
      <c r="D342" s="5">
        <v>191857.0</v>
      </c>
      <c r="E342" s="4" t="s">
        <v>27</v>
      </c>
      <c r="F342" s="4" t="s">
        <v>79</v>
      </c>
      <c r="G342" s="4" t="s">
        <v>393</v>
      </c>
      <c r="H342" s="4" t="s">
        <v>1253</v>
      </c>
      <c r="I342" s="6" t="s">
        <v>126</v>
      </c>
      <c r="L342" s="4" t="s">
        <v>34</v>
      </c>
      <c r="M342" s="7">
        <v>10107.0</v>
      </c>
      <c r="N342" s="7">
        <v>47923.0</v>
      </c>
      <c r="O342" s="7">
        <v>3662.0</v>
      </c>
      <c r="P342" s="8"/>
    </row>
    <row r="343" ht="14.25" customHeight="1">
      <c r="A343" s="4" t="s">
        <v>1254</v>
      </c>
      <c r="B343" s="4" t="s">
        <v>1255</v>
      </c>
      <c r="C343" s="4" t="s">
        <v>1254</v>
      </c>
      <c r="D343" s="5">
        <v>477643.0</v>
      </c>
      <c r="E343" s="4" t="s">
        <v>18</v>
      </c>
      <c r="H343" s="4" t="s">
        <v>141</v>
      </c>
      <c r="I343" s="6" t="s">
        <v>142</v>
      </c>
      <c r="L343" s="4" t="s">
        <v>1238</v>
      </c>
      <c r="M343" s="7">
        <v>19045.0</v>
      </c>
      <c r="N343" s="7">
        <v>612906.0</v>
      </c>
      <c r="O343" s="7">
        <v>3311.0</v>
      </c>
      <c r="P343" s="9" t="s">
        <v>40</v>
      </c>
    </row>
    <row r="344" ht="14.25" customHeight="1">
      <c r="A344" s="6" t="s">
        <v>1256</v>
      </c>
      <c r="B344" s="6" t="s">
        <v>1257</v>
      </c>
      <c r="D344" s="10">
        <v>3677041.0</v>
      </c>
      <c r="E344" s="6" t="s">
        <v>27</v>
      </c>
      <c r="F344" s="6" t="s">
        <v>1258</v>
      </c>
      <c r="G344" s="6" t="s">
        <v>1259</v>
      </c>
      <c r="H344" s="6" t="s">
        <v>213</v>
      </c>
      <c r="I344" s="6" t="s">
        <v>214</v>
      </c>
      <c r="J344" s="6" t="s">
        <v>1260</v>
      </c>
      <c r="L344" s="6" t="s">
        <v>71</v>
      </c>
      <c r="M344" s="7">
        <v>494.0</v>
      </c>
      <c r="N344" s="7">
        <v>21.0</v>
      </c>
      <c r="O344" s="7">
        <v>434.0</v>
      </c>
      <c r="P344" s="8"/>
    </row>
    <row r="345" ht="14.25" customHeight="1">
      <c r="A345" s="4" t="s">
        <v>1261</v>
      </c>
      <c r="B345" s="4" t="s">
        <v>1262</v>
      </c>
      <c r="C345" s="4" t="s">
        <v>1261</v>
      </c>
      <c r="D345" s="5">
        <v>2900476.0</v>
      </c>
      <c r="E345" s="4" t="s">
        <v>27</v>
      </c>
      <c r="F345" s="4" t="s">
        <v>1263</v>
      </c>
      <c r="G345" s="4" t="s">
        <v>1264</v>
      </c>
      <c r="L345" s="4" t="s">
        <v>34</v>
      </c>
      <c r="M345" s="7">
        <v>3.0</v>
      </c>
      <c r="N345" s="7">
        <v>0.0</v>
      </c>
      <c r="O345" s="7">
        <v>0.0</v>
      </c>
      <c r="P345" s="8"/>
    </row>
    <row r="346" ht="14.25" customHeight="1">
      <c r="A346" s="4" t="s">
        <v>1265</v>
      </c>
      <c r="B346" s="4" t="s">
        <v>1266</v>
      </c>
      <c r="C346" s="4" t="s">
        <v>1265</v>
      </c>
      <c r="D346" s="5">
        <v>325897.0</v>
      </c>
      <c r="E346" s="4" t="s">
        <v>27</v>
      </c>
      <c r="F346" s="4" t="s">
        <v>462</v>
      </c>
      <c r="G346" s="4" t="s">
        <v>655</v>
      </c>
      <c r="L346" s="4" t="s">
        <v>34</v>
      </c>
      <c r="M346" s="7">
        <v>1757.0</v>
      </c>
      <c r="N346" s="7">
        <v>47.0</v>
      </c>
      <c r="O346" s="7">
        <v>1052.0</v>
      </c>
      <c r="P346" s="8"/>
    </row>
    <row r="347" ht="14.25" customHeight="1">
      <c r="A347" s="4" t="s">
        <v>1267</v>
      </c>
      <c r="B347" s="4" t="s">
        <v>1268</v>
      </c>
      <c r="C347" s="4" t="s">
        <v>1267</v>
      </c>
      <c r="D347" s="5">
        <v>10553.0</v>
      </c>
      <c r="E347" s="4" t="s">
        <v>27</v>
      </c>
      <c r="F347" s="4" t="s">
        <v>237</v>
      </c>
      <c r="G347" s="4" t="s">
        <v>1269</v>
      </c>
      <c r="H347" s="4" t="s">
        <v>1270</v>
      </c>
      <c r="I347" s="6" t="s">
        <v>1271</v>
      </c>
      <c r="L347" s="4" t="s">
        <v>34</v>
      </c>
      <c r="M347" s="7">
        <v>1908.0</v>
      </c>
      <c r="N347" s="7">
        <v>4196.0</v>
      </c>
      <c r="O347" s="7">
        <v>849.0</v>
      </c>
      <c r="P347" s="8"/>
    </row>
    <row r="348" ht="14.25" customHeight="1">
      <c r="A348" s="6" t="s">
        <v>1272</v>
      </c>
      <c r="B348" s="6" t="s">
        <v>1273</v>
      </c>
      <c r="C348" s="6" t="s">
        <v>1272</v>
      </c>
      <c r="D348" s="10">
        <v>469820.0</v>
      </c>
      <c r="E348" s="6" t="s">
        <v>18</v>
      </c>
      <c r="H348" s="6" t="s">
        <v>141</v>
      </c>
      <c r="I348" s="6" t="s">
        <v>142</v>
      </c>
      <c r="J348" s="6" t="s">
        <v>1274</v>
      </c>
      <c r="L348" s="6" t="s">
        <v>71</v>
      </c>
      <c r="M348" s="7">
        <v>8016.0</v>
      </c>
      <c r="N348" s="7">
        <v>319.0</v>
      </c>
      <c r="O348" s="7">
        <v>1843.0</v>
      </c>
      <c r="P348" s="9" t="s">
        <v>40</v>
      </c>
    </row>
    <row r="349" ht="14.25" customHeight="1">
      <c r="A349" s="4" t="s">
        <v>1275</v>
      </c>
      <c r="B349" s="4" t="s">
        <v>1276</v>
      </c>
      <c r="C349" s="4" t="s">
        <v>1275</v>
      </c>
      <c r="D349" s="5">
        <v>7726707.0</v>
      </c>
      <c r="E349" s="4" t="s">
        <v>27</v>
      </c>
      <c r="F349" s="4" t="s">
        <v>1277</v>
      </c>
      <c r="G349" s="4" t="s">
        <v>1278</v>
      </c>
      <c r="L349" s="4" t="s">
        <v>34</v>
      </c>
      <c r="M349" s="7">
        <v>69.0</v>
      </c>
      <c r="N349" s="7">
        <v>30.0</v>
      </c>
      <c r="O349" s="7">
        <v>60.0</v>
      </c>
      <c r="P349" s="8"/>
    </row>
    <row r="350" ht="14.25" customHeight="1">
      <c r="A350" s="4" t="s">
        <v>1279</v>
      </c>
      <c r="B350" s="4" t="s">
        <v>1280</v>
      </c>
      <c r="C350" s="4" t="s">
        <v>1279</v>
      </c>
      <c r="D350" s="5">
        <v>20198.0</v>
      </c>
      <c r="E350" s="4" t="s">
        <v>18</v>
      </c>
      <c r="H350" s="4" t="s">
        <v>1281</v>
      </c>
      <c r="I350" s="6" t="s">
        <v>768</v>
      </c>
      <c r="L350" s="4" t="s">
        <v>24</v>
      </c>
      <c r="M350" s="7">
        <v>36249.0</v>
      </c>
      <c r="N350" s="7">
        <v>328001.0</v>
      </c>
      <c r="O350" s="7">
        <v>5804.0</v>
      </c>
      <c r="P350" s="8"/>
    </row>
    <row r="351" ht="14.25" customHeight="1">
      <c r="A351" s="4" t="s">
        <v>1282</v>
      </c>
      <c r="B351" s="4" t="s">
        <v>1283</v>
      </c>
      <c r="D351" s="5">
        <v>7338999.0</v>
      </c>
      <c r="E351" s="4" t="s">
        <v>18</v>
      </c>
      <c r="H351" s="4" t="s">
        <v>979</v>
      </c>
      <c r="I351" s="6" t="s">
        <v>38</v>
      </c>
      <c r="L351" s="4" t="s">
        <v>39</v>
      </c>
      <c r="M351" s="7">
        <v>0.0</v>
      </c>
      <c r="N351" s="7">
        <v>35.0</v>
      </c>
      <c r="O351" s="7">
        <v>0.0</v>
      </c>
      <c r="P351" s="8"/>
    </row>
    <row r="352" ht="14.25" customHeight="1">
      <c r="A352" s="4" t="s">
        <v>1284</v>
      </c>
      <c r="B352" s="4" t="s">
        <v>1285</v>
      </c>
      <c r="C352" s="4" t="s">
        <v>1284</v>
      </c>
      <c r="D352" s="5">
        <v>243815.0</v>
      </c>
      <c r="E352" s="4" t="s">
        <v>18</v>
      </c>
      <c r="H352" s="4" t="s">
        <v>702</v>
      </c>
      <c r="I352" s="6" t="s">
        <v>703</v>
      </c>
      <c r="L352" s="4" t="s">
        <v>39</v>
      </c>
      <c r="M352" s="7">
        <v>18.0</v>
      </c>
      <c r="N352" s="7">
        <v>0.0</v>
      </c>
      <c r="O352" s="7">
        <v>11.0</v>
      </c>
      <c r="P352" s="8"/>
    </row>
    <row r="353" ht="14.25" customHeight="1">
      <c r="A353" s="4" t="s">
        <v>1286</v>
      </c>
      <c r="B353" s="4" t="s">
        <v>1287</v>
      </c>
      <c r="D353" s="5">
        <v>218977.0</v>
      </c>
      <c r="E353" s="4" t="s">
        <v>18</v>
      </c>
      <c r="H353" s="4" t="s">
        <v>1288</v>
      </c>
      <c r="I353" s="6" t="s">
        <v>1289</v>
      </c>
      <c r="L353" s="4" t="s">
        <v>24</v>
      </c>
      <c r="M353" s="7">
        <v>6811.0</v>
      </c>
      <c r="N353" s="7">
        <v>24015.0</v>
      </c>
      <c r="O353" s="7">
        <v>1491.0</v>
      </c>
      <c r="P353" s="8"/>
    </row>
    <row r="354" ht="14.25" customHeight="1">
      <c r="A354" s="4" t="s">
        <v>1290</v>
      </c>
      <c r="B354" s="4" t="s">
        <v>1291</v>
      </c>
      <c r="C354" s="4" t="s">
        <v>1290</v>
      </c>
      <c r="D354" s="5">
        <v>3858673.0</v>
      </c>
      <c r="E354" s="4" t="s">
        <v>27</v>
      </c>
      <c r="F354" s="4" t="s">
        <v>189</v>
      </c>
      <c r="G354" s="4" t="s">
        <v>1292</v>
      </c>
      <c r="L354" s="4" t="s">
        <v>34</v>
      </c>
      <c r="M354" s="7">
        <v>49.0</v>
      </c>
      <c r="N354" s="7">
        <v>0.0</v>
      </c>
      <c r="O354" s="7">
        <v>44.0</v>
      </c>
      <c r="P354" s="8"/>
    </row>
    <row r="355" ht="14.25" customHeight="1">
      <c r="A355" s="4" t="s">
        <v>1293</v>
      </c>
      <c r="B355" s="4" t="s">
        <v>1294</v>
      </c>
      <c r="C355" s="4" t="s">
        <v>1293</v>
      </c>
      <c r="D355" s="5">
        <v>2408780.0</v>
      </c>
      <c r="E355" s="4" t="s">
        <v>27</v>
      </c>
      <c r="F355" s="4" t="s">
        <v>79</v>
      </c>
      <c r="G355" s="4" t="s">
        <v>1295</v>
      </c>
      <c r="L355" s="4" t="s">
        <v>34</v>
      </c>
      <c r="M355" s="7">
        <v>209.0</v>
      </c>
      <c r="N355" s="7">
        <v>2.0</v>
      </c>
      <c r="O355" s="7">
        <v>165.0</v>
      </c>
      <c r="P355" s="8"/>
    </row>
    <row r="356" ht="14.25" customHeight="1">
      <c r="A356" s="4" t="s">
        <v>1296</v>
      </c>
      <c r="B356" s="4" t="s">
        <v>1297</v>
      </c>
      <c r="C356" s="4" t="s">
        <v>1296</v>
      </c>
      <c r="D356" s="5">
        <v>5917681.0</v>
      </c>
      <c r="E356" s="4" t="s">
        <v>27</v>
      </c>
      <c r="F356" s="4" t="s">
        <v>245</v>
      </c>
      <c r="G356" s="4" t="s">
        <v>168</v>
      </c>
      <c r="L356" s="4" t="s">
        <v>34</v>
      </c>
      <c r="M356" s="7">
        <v>98.0</v>
      </c>
      <c r="N356" s="7">
        <v>2.0</v>
      </c>
      <c r="O356" s="7">
        <v>88.0</v>
      </c>
      <c r="P356" s="8"/>
    </row>
    <row r="357" ht="14.25" customHeight="1">
      <c r="A357" s="4" t="s">
        <v>1298</v>
      </c>
      <c r="B357" s="4" t="s">
        <v>1299</v>
      </c>
      <c r="D357" s="5">
        <v>678155.0</v>
      </c>
      <c r="E357" s="4" t="s">
        <v>18</v>
      </c>
      <c r="F357" s="4" t="s">
        <v>1300</v>
      </c>
      <c r="G357" s="4" t="s">
        <v>1301</v>
      </c>
      <c r="H357" s="4" t="s">
        <v>595</v>
      </c>
      <c r="I357" s="6" t="s">
        <v>113</v>
      </c>
      <c r="L357" s="4" t="s">
        <v>24</v>
      </c>
      <c r="M357" s="7">
        <v>949.0</v>
      </c>
      <c r="N357" s="7">
        <v>766.0</v>
      </c>
      <c r="O357" s="7">
        <v>599.0</v>
      </c>
      <c r="P357" s="8"/>
    </row>
    <row r="358" ht="14.25" customHeight="1">
      <c r="A358" s="6" t="s">
        <v>1302</v>
      </c>
      <c r="B358" s="6" t="s">
        <v>1303</v>
      </c>
      <c r="C358" s="6" t="s">
        <v>1302</v>
      </c>
      <c r="D358" s="10">
        <v>1065815.0</v>
      </c>
      <c r="E358" s="6" t="s">
        <v>18</v>
      </c>
      <c r="G358" s="6" t="s">
        <v>168</v>
      </c>
      <c r="H358" s="6" t="s">
        <v>213</v>
      </c>
      <c r="I358" s="6" t="s">
        <v>214</v>
      </c>
      <c r="J358" s="6" t="s">
        <v>1304</v>
      </c>
      <c r="L358" s="6" t="s">
        <v>71</v>
      </c>
      <c r="M358" s="7">
        <v>10158.0</v>
      </c>
      <c r="N358" s="7">
        <v>96927.0</v>
      </c>
      <c r="O358" s="7">
        <v>2555.0</v>
      </c>
      <c r="P358" s="8"/>
    </row>
    <row r="359" ht="14.25" customHeight="1">
      <c r="A359" s="4" t="s">
        <v>1305</v>
      </c>
      <c r="B359" s="4" t="s">
        <v>1306</v>
      </c>
      <c r="C359" s="4" t="s">
        <v>1305</v>
      </c>
      <c r="D359" s="5">
        <v>497893.0</v>
      </c>
      <c r="E359" s="4" t="s">
        <v>18</v>
      </c>
      <c r="H359" s="4" t="s">
        <v>595</v>
      </c>
      <c r="I359" s="6" t="s">
        <v>113</v>
      </c>
      <c r="L359" s="4" t="s">
        <v>24</v>
      </c>
      <c r="M359" s="7">
        <v>2119.0</v>
      </c>
      <c r="N359" s="7">
        <v>1182.0</v>
      </c>
      <c r="O359" s="7">
        <v>1005.0</v>
      </c>
      <c r="P359" s="8"/>
    </row>
    <row r="360" ht="14.25" customHeight="1">
      <c r="A360" s="4" t="s">
        <v>1307</v>
      </c>
      <c r="B360" s="4" t="s">
        <v>1308</v>
      </c>
      <c r="C360" s="4" t="s">
        <v>1307</v>
      </c>
      <c r="D360" s="5">
        <v>19012.0</v>
      </c>
      <c r="E360" s="4" t="s">
        <v>27</v>
      </c>
      <c r="F360" s="4" t="s">
        <v>237</v>
      </c>
      <c r="G360" s="4" t="s">
        <v>693</v>
      </c>
      <c r="L360" s="4" t="s">
        <v>34</v>
      </c>
      <c r="M360" s="7">
        <v>1426.0</v>
      </c>
      <c r="N360" s="7">
        <v>524.0</v>
      </c>
      <c r="O360" s="7">
        <v>389.0</v>
      </c>
      <c r="P360" s="9" t="s">
        <v>40</v>
      </c>
    </row>
    <row r="361" ht="14.25" customHeight="1">
      <c r="A361" s="6" t="s">
        <v>1309</v>
      </c>
      <c r="B361" s="6" t="s">
        <v>1310</v>
      </c>
      <c r="C361" s="6" t="s">
        <v>1309</v>
      </c>
      <c r="D361" s="10">
        <v>370256.0</v>
      </c>
      <c r="E361" s="6" t="s">
        <v>27</v>
      </c>
      <c r="F361" s="6" t="s">
        <v>1311</v>
      </c>
      <c r="G361" s="6" t="s">
        <v>1312</v>
      </c>
      <c r="H361" s="6" t="s">
        <v>1313</v>
      </c>
      <c r="I361" s="6" t="s">
        <v>1314</v>
      </c>
      <c r="L361" s="6" t="s">
        <v>71</v>
      </c>
      <c r="M361" s="7">
        <v>389.0</v>
      </c>
      <c r="N361" s="7">
        <v>432.0</v>
      </c>
      <c r="O361" s="7">
        <v>180.0</v>
      </c>
      <c r="P361" s="11"/>
    </row>
    <row r="362" ht="14.25" customHeight="1">
      <c r="A362" s="4" t="s">
        <v>1315</v>
      </c>
      <c r="B362" s="4" t="s">
        <v>1316</v>
      </c>
      <c r="C362" s="4" t="s">
        <v>1317</v>
      </c>
      <c r="D362" s="5">
        <v>1014980.0</v>
      </c>
      <c r="E362" s="4" t="s">
        <v>27</v>
      </c>
      <c r="F362" s="4" t="s">
        <v>627</v>
      </c>
      <c r="G362" s="4" t="s">
        <v>1318</v>
      </c>
      <c r="L362" s="4" t="s">
        <v>34</v>
      </c>
      <c r="M362" s="7">
        <v>8953.0</v>
      </c>
      <c r="N362" s="7">
        <v>3993.0</v>
      </c>
      <c r="O362" s="7">
        <v>2434.0</v>
      </c>
      <c r="P362" s="8"/>
    </row>
    <row r="363" ht="14.25" customHeight="1">
      <c r="A363" s="4" t="s">
        <v>1319</v>
      </c>
      <c r="B363" s="4" t="s">
        <v>1320</v>
      </c>
      <c r="C363" s="4" t="s">
        <v>1319</v>
      </c>
      <c r="D363" s="5">
        <v>118920.0</v>
      </c>
      <c r="E363" s="4" t="s">
        <v>18</v>
      </c>
      <c r="H363" s="4" t="s">
        <v>825</v>
      </c>
      <c r="I363" s="6" t="s">
        <v>294</v>
      </c>
      <c r="L363" s="4" t="s">
        <v>65</v>
      </c>
      <c r="M363" s="7">
        <v>22.0</v>
      </c>
      <c r="N363" s="7">
        <v>687.0</v>
      </c>
      <c r="O363" s="7">
        <v>21.0</v>
      </c>
      <c r="P363" s="8"/>
    </row>
    <row r="364" ht="14.25" customHeight="1">
      <c r="A364" s="4" t="s">
        <v>1321</v>
      </c>
      <c r="B364" s="4" t="s">
        <v>1322</v>
      </c>
      <c r="C364" s="4" t="s">
        <v>1321</v>
      </c>
      <c r="D364" s="5">
        <v>232483.0</v>
      </c>
      <c r="E364" s="4" t="s">
        <v>27</v>
      </c>
      <c r="F364" s="4" t="s">
        <v>189</v>
      </c>
      <c r="G364" s="4" t="s">
        <v>168</v>
      </c>
      <c r="L364" s="4" t="s">
        <v>34</v>
      </c>
      <c r="M364" s="7">
        <v>1144.0</v>
      </c>
      <c r="N364" s="7">
        <v>257.0</v>
      </c>
      <c r="O364" s="7">
        <v>663.0</v>
      </c>
      <c r="P364" s="8"/>
    </row>
    <row r="365" ht="14.25" customHeight="1">
      <c r="A365" s="4" t="s">
        <v>1323</v>
      </c>
      <c r="B365" s="4" t="s">
        <v>1324</v>
      </c>
      <c r="C365" s="4" t="s">
        <v>1323</v>
      </c>
      <c r="D365" s="5">
        <v>3625095.0</v>
      </c>
      <c r="E365" s="4" t="s">
        <v>27</v>
      </c>
      <c r="F365" s="4" t="s">
        <v>623</v>
      </c>
      <c r="G365" s="4" t="s">
        <v>1325</v>
      </c>
      <c r="L365" s="4" t="s">
        <v>34</v>
      </c>
      <c r="M365" s="7">
        <v>107.0</v>
      </c>
      <c r="N365" s="7">
        <v>10.0</v>
      </c>
      <c r="O365" s="7">
        <v>84.0</v>
      </c>
      <c r="P365" s="8"/>
    </row>
    <row r="366" ht="14.25" customHeight="1">
      <c r="A366" s="4" t="s">
        <v>1326</v>
      </c>
      <c r="B366" s="4" t="s">
        <v>1327</v>
      </c>
      <c r="C366" s="4" t="s">
        <v>1328</v>
      </c>
      <c r="D366" s="5">
        <v>1380777.0</v>
      </c>
      <c r="E366" s="4" t="s">
        <v>18</v>
      </c>
      <c r="F366" s="4" t="s">
        <v>1329</v>
      </c>
      <c r="G366" s="4" t="s">
        <v>1330</v>
      </c>
      <c r="H366" s="4" t="s">
        <v>193</v>
      </c>
      <c r="I366" s="6" t="s">
        <v>63</v>
      </c>
      <c r="J366" s="4" t="s">
        <v>1331</v>
      </c>
      <c r="L366" s="4" t="s">
        <v>65</v>
      </c>
      <c r="M366" s="7">
        <v>158.0</v>
      </c>
      <c r="N366" s="7">
        <v>4977.0</v>
      </c>
      <c r="O366" s="7">
        <v>146.0</v>
      </c>
      <c r="P366" s="8"/>
    </row>
    <row r="367" ht="14.25" customHeight="1">
      <c r="A367" s="4" t="s">
        <v>1332</v>
      </c>
      <c r="B367" s="4" t="s">
        <v>1333</v>
      </c>
      <c r="D367" s="5">
        <v>36669.0</v>
      </c>
      <c r="E367" s="4" t="s">
        <v>27</v>
      </c>
      <c r="F367" s="4" t="s">
        <v>500</v>
      </c>
      <c r="G367" s="4" t="s">
        <v>1334</v>
      </c>
      <c r="L367" s="4" t="s">
        <v>34</v>
      </c>
      <c r="M367" s="7">
        <v>0.0</v>
      </c>
      <c r="N367" s="7">
        <v>1.0</v>
      </c>
      <c r="O367" s="7">
        <v>0.0</v>
      </c>
      <c r="P367" s="8"/>
    </row>
    <row r="368" ht="14.25" customHeight="1">
      <c r="A368" s="4" t="s">
        <v>1335</v>
      </c>
      <c r="B368" s="4" t="s">
        <v>1336</v>
      </c>
      <c r="C368" s="4" t="s">
        <v>1335</v>
      </c>
      <c r="D368" s="5">
        <v>59233.0</v>
      </c>
      <c r="E368" s="4" t="s">
        <v>18</v>
      </c>
      <c r="H368" s="4" t="s">
        <v>70</v>
      </c>
      <c r="I368" s="6" t="s">
        <v>38</v>
      </c>
      <c r="L368" s="4" t="s">
        <v>39</v>
      </c>
      <c r="M368" s="7">
        <v>3157.0</v>
      </c>
      <c r="N368" s="7">
        <v>230784.0</v>
      </c>
      <c r="O368" s="7">
        <v>1537.0</v>
      </c>
      <c r="P368" s="9" t="s">
        <v>40</v>
      </c>
    </row>
    <row r="369" ht="14.25" customHeight="1">
      <c r="A369" s="4" t="s">
        <v>1337</v>
      </c>
      <c r="B369" s="4" t="s">
        <v>1338</v>
      </c>
      <c r="C369" s="4" t="s">
        <v>1337</v>
      </c>
      <c r="D369" s="5">
        <v>1635190.0</v>
      </c>
      <c r="E369" s="4" t="s">
        <v>27</v>
      </c>
      <c r="F369" s="4" t="s">
        <v>75</v>
      </c>
      <c r="G369" s="4" t="s">
        <v>1339</v>
      </c>
      <c r="L369" s="4" t="s">
        <v>34</v>
      </c>
      <c r="M369" s="7">
        <v>10296.0</v>
      </c>
      <c r="N369" s="7">
        <v>11107.0</v>
      </c>
      <c r="O369" s="7">
        <v>2106.0</v>
      </c>
      <c r="P369" s="8"/>
    </row>
    <row r="370" ht="14.25" customHeight="1">
      <c r="A370" s="6" t="s">
        <v>1340</v>
      </c>
      <c r="B370" s="6" t="s">
        <v>1341</v>
      </c>
      <c r="C370" s="6" t="s">
        <v>1340</v>
      </c>
      <c r="D370" s="10">
        <v>3883210.0</v>
      </c>
      <c r="E370" s="6" t="s">
        <v>27</v>
      </c>
      <c r="F370" s="6" t="s">
        <v>308</v>
      </c>
      <c r="G370" s="6" t="s">
        <v>1342</v>
      </c>
      <c r="H370" s="6" t="s">
        <v>1343</v>
      </c>
      <c r="I370" s="6" t="s">
        <v>1344</v>
      </c>
      <c r="L370" s="6" t="s">
        <v>71</v>
      </c>
      <c r="M370" s="7">
        <v>0.0</v>
      </c>
      <c r="N370" s="7">
        <v>0.0</v>
      </c>
      <c r="O370" s="7">
        <v>0.0</v>
      </c>
      <c r="P370" s="8"/>
    </row>
    <row r="371" ht="14.25" customHeight="1">
      <c r="A371" s="4" t="s">
        <v>1345</v>
      </c>
      <c r="B371" s="4" t="s">
        <v>1346</v>
      </c>
      <c r="C371" s="4" t="s">
        <v>1347</v>
      </c>
      <c r="D371" s="5">
        <v>398240.0</v>
      </c>
      <c r="E371" s="4" t="s">
        <v>27</v>
      </c>
      <c r="F371" s="4" t="s">
        <v>454</v>
      </c>
      <c r="G371" s="4" t="s">
        <v>1348</v>
      </c>
      <c r="L371" s="4" t="s">
        <v>34</v>
      </c>
      <c r="M371" s="7">
        <v>1149.0</v>
      </c>
      <c r="N371" s="7">
        <v>93.0</v>
      </c>
      <c r="O371" s="7">
        <v>869.0</v>
      </c>
      <c r="P371" s="8"/>
    </row>
    <row r="372" ht="14.25" customHeight="1">
      <c r="A372" s="4" t="s">
        <v>1349</v>
      </c>
      <c r="B372" s="4" t="s">
        <v>1350</v>
      </c>
      <c r="C372" s="4" t="s">
        <v>1349</v>
      </c>
      <c r="D372" s="5">
        <v>546048.0</v>
      </c>
      <c r="E372" s="4" t="s">
        <v>18</v>
      </c>
      <c r="H372" s="4" t="s">
        <v>595</v>
      </c>
      <c r="I372" s="6" t="s">
        <v>113</v>
      </c>
      <c r="L372" s="4" t="s">
        <v>24</v>
      </c>
      <c r="M372" s="7">
        <v>99.0</v>
      </c>
      <c r="N372" s="7">
        <v>707.0</v>
      </c>
      <c r="O372" s="7">
        <v>81.0</v>
      </c>
      <c r="P372" s="8"/>
    </row>
    <row r="373" ht="14.25" customHeight="1">
      <c r="A373" s="4" t="s">
        <v>1351</v>
      </c>
      <c r="B373" s="4" t="s">
        <v>1352</v>
      </c>
      <c r="C373" s="4" t="s">
        <v>1351</v>
      </c>
      <c r="D373" s="5">
        <v>1755338.0</v>
      </c>
      <c r="E373" s="4" t="s">
        <v>27</v>
      </c>
      <c r="F373" s="4" t="s">
        <v>1263</v>
      </c>
      <c r="G373" s="4" t="s">
        <v>1353</v>
      </c>
      <c r="L373" s="4" t="s">
        <v>34</v>
      </c>
      <c r="M373" s="7">
        <v>20.0</v>
      </c>
      <c r="N373" s="7">
        <v>0.0</v>
      </c>
      <c r="O373" s="7">
        <v>17.0</v>
      </c>
      <c r="P373" s="8"/>
    </row>
    <row r="374" ht="14.25" customHeight="1">
      <c r="A374" s="4" t="s">
        <v>1354</v>
      </c>
      <c r="B374" s="4" t="s">
        <v>1355</v>
      </c>
      <c r="C374" s="4" t="s">
        <v>1354</v>
      </c>
      <c r="D374" s="5">
        <v>104652.0</v>
      </c>
      <c r="E374" s="4" t="s">
        <v>18</v>
      </c>
      <c r="H374" s="4" t="s">
        <v>1356</v>
      </c>
      <c r="I374" s="6" t="s">
        <v>1357</v>
      </c>
      <c r="L374" s="4" t="s">
        <v>24</v>
      </c>
      <c r="M374" s="7">
        <v>1416.0</v>
      </c>
      <c r="N374" s="7">
        <v>1553.0</v>
      </c>
      <c r="O374" s="7">
        <v>662.0</v>
      </c>
      <c r="P374" s="8"/>
    </row>
    <row r="375" ht="14.25" customHeight="1">
      <c r="A375" s="4" t="s">
        <v>1358</v>
      </c>
      <c r="B375" s="4" t="s">
        <v>1359</v>
      </c>
      <c r="C375" s="4" t="s">
        <v>1358</v>
      </c>
      <c r="D375" s="5">
        <v>2866061.0</v>
      </c>
      <c r="E375" s="4" t="s">
        <v>18</v>
      </c>
      <c r="H375" s="4" t="s">
        <v>70</v>
      </c>
      <c r="I375" s="6" t="s">
        <v>38</v>
      </c>
      <c r="L375" s="4" t="s">
        <v>39</v>
      </c>
      <c r="M375" s="7">
        <v>9752.0</v>
      </c>
      <c r="N375" s="7">
        <v>306787.0</v>
      </c>
      <c r="O375" s="7">
        <v>2158.0</v>
      </c>
      <c r="P375" s="8"/>
    </row>
    <row r="376" ht="14.25" customHeight="1">
      <c r="A376" s="4" t="s">
        <v>1360</v>
      </c>
      <c r="B376" s="4" t="s">
        <v>1361</v>
      </c>
      <c r="D376" s="5">
        <v>4769745.0</v>
      </c>
      <c r="E376" s="4" t="s">
        <v>27</v>
      </c>
      <c r="F376" s="4" t="s">
        <v>356</v>
      </c>
      <c r="G376" s="4" t="s">
        <v>1362</v>
      </c>
      <c r="H376" s="4" t="s">
        <v>70</v>
      </c>
      <c r="I376" s="6" t="s">
        <v>38</v>
      </c>
      <c r="L376" s="4" t="s">
        <v>1132</v>
      </c>
      <c r="M376" s="7">
        <v>5.0</v>
      </c>
      <c r="N376" s="7">
        <v>10.0</v>
      </c>
      <c r="O376" s="7">
        <v>5.0</v>
      </c>
      <c r="P376" s="8"/>
    </row>
    <row r="377" ht="14.25" customHeight="1">
      <c r="A377" s="4" t="s">
        <v>1363</v>
      </c>
      <c r="B377" s="4" t="s">
        <v>1364</v>
      </c>
      <c r="D377" s="5">
        <v>2702466.0</v>
      </c>
      <c r="E377" s="4" t="s">
        <v>27</v>
      </c>
      <c r="F377" s="4" t="s">
        <v>559</v>
      </c>
      <c r="L377" s="4" t="s">
        <v>29</v>
      </c>
      <c r="M377" s="7">
        <v>134.0</v>
      </c>
      <c r="N377" s="7">
        <v>89.0</v>
      </c>
      <c r="O377" s="7">
        <v>119.0</v>
      </c>
      <c r="P377" s="8"/>
    </row>
    <row r="378" ht="14.25" customHeight="1">
      <c r="A378" s="6" t="s">
        <v>1365</v>
      </c>
      <c r="B378" s="6" t="s">
        <v>1366</v>
      </c>
      <c r="C378" s="6" t="s">
        <v>1365</v>
      </c>
      <c r="D378" s="10">
        <v>3546458.0</v>
      </c>
      <c r="E378" s="6" t="s">
        <v>18</v>
      </c>
      <c r="F378" s="6" t="s">
        <v>1367</v>
      </c>
      <c r="G378" s="6" t="s">
        <v>1368</v>
      </c>
      <c r="H378" s="6" t="s">
        <v>1369</v>
      </c>
      <c r="I378" s="6" t="s">
        <v>353</v>
      </c>
      <c r="J378" s="6" t="s">
        <v>1082</v>
      </c>
      <c r="L378" s="6" t="s">
        <v>1083</v>
      </c>
      <c r="M378" s="12">
        <v>3851.0</v>
      </c>
      <c r="N378" s="12">
        <v>132980.0</v>
      </c>
      <c r="O378" s="12">
        <v>1483.0</v>
      </c>
      <c r="P378" s="13" t="s">
        <v>40</v>
      </c>
    </row>
    <row r="379" ht="14.25" customHeight="1">
      <c r="A379" s="6" t="s">
        <v>1370</v>
      </c>
      <c r="B379" s="6" t="s">
        <v>1371</v>
      </c>
      <c r="C379" s="6" t="s">
        <v>1370</v>
      </c>
      <c r="D379" s="10">
        <v>745901.0</v>
      </c>
      <c r="E379" s="6" t="s">
        <v>18</v>
      </c>
      <c r="H379" s="6" t="s">
        <v>1372</v>
      </c>
      <c r="I379" s="6" t="s">
        <v>294</v>
      </c>
      <c r="J379" s="6" t="s">
        <v>1373</v>
      </c>
      <c r="L379" s="6" t="s">
        <v>1374</v>
      </c>
      <c r="M379" s="7">
        <v>1.0</v>
      </c>
      <c r="N379" s="7">
        <v>78187.0</v>
      </c>
      <c r="O379" s="7">
        <v>1.0</v>
      </c>
      <c r="P379" s="9" t="s">
        <v>40</v>
      </c>
    </row>
    <row r="380" ht="14.25" customHeight="1">
      <c r="A380" s="4" t="s">
        <v>1375</v>
      </c>
      <c r="B380" s="4" t="s">
        <v>1376</v>
      </c>
      <c r="C380" s="4" t="s">
        <v>1376</v>
      </c>
      <c r="D380" s="5">
        <v>35198.0</v>
      </c>
      <c r="E380" s="4" t="s">
        <v>27</v>
      </c>
      <c r="F380" s="4" t="s">
        <v>381</v>
      </c>
      <c r="G380" s="4" t="s">
        <v>168</v>
      </c>
      <c r="L380" s="4" t="s">
        <v>34</v>
      </c>
      <c r="M380" s="7">
        <v>763.0</v>
      </c>
      <c r="N380" s="7">
        <v>1008.0</v>
      </c>
      <c r="O380" s="7">
        <v>367.0</v>
      </c>
      <c r="P380" s="8"/>
    </row>
    <row r="381" ht="14.25" customHeight="1">
      <c r="A381" s="4" t="s">
        <v>1377</v>
      </c>
      <c r="B381" s="4" t="s">
        <v>1378</v>
      </c>
      <c r="C381" s="4" t="s">
        <v>1377</v>
      </c>
      <c r="D381" s="5">
        <v>71150.0</v>
      </c>
      <c r="E381" s="4" t="s">
        <v>27</v>
      </c>
      <c r="F381" s="4" t="s">
        <v>245</v>
      </c>
      <c r="G381" s="4" t="s">
        <v>246</v>
      </c>
      <c r="L381" s="4" t="s">
        <v>34</v>
      </c>
      <c r="M381" s="7">
        <v>413.0</v>
      </c>
      <c r="N381" s="7">
        <v>265.0</v>
      </c>
      <c r="O381" s="7">
        <v>356.0</v>
      </c>
      <c r="P381" s="8"/>
    </row>
    <row r="382" ht="14.25" customHeight="1">
      <c r="A382" s="4" t="s">
        <v>1379</v>
      </c>
      <c r="B382" s="4" t="s">
        <v>1380</v>
      </c>
      <c r="C382" s="4" t="s">
        <v>1381</v>
      </c>
      <c r="D382" s="5">
        <v>271276.0</v>
      </c>
      <c r="E382" s="4" t="s">
        <v>18</v>
      </c>
      <c r="H382" s="4" t="s">
        <v>213</v>
      </c>
      <c r="I382" s="6" t="s">
        <v>214</v>
      </c>
      <c r="J382" s="4" t="s">
        <v>1382</v>
      </c>
      <c r="L382" s="4" t="s">
        <v>65</v>
      </c>
      <c r="M382" s="7">
        <v>257.0</v>
      </c>
      <c r="N382" s="7">
        <v>475.0</v>
      </c>
      <c r="O382" s="7">
        <v>199.0</v>
      </c>
      <c r="P382" s="8"/>
    </row>
    <row r="383" ht="14.25" customHeight="1">
      <c r="A383" s="4" t="s">
        <v>1383</v>
      </c>
      <c r="B383" s="4" t="s">
        <v>1384</v>
      </c>
      <c r="C383" s="4" t="s">
        <v>1383</v>
      </c>
      <c r="D383" s="5">
        <v>1871393.0</v>
      </c>
      <c r="E383" s="4" t="s">
        <v>18</v>
      </c>
      <c r="H383" s="4" t="s">
        <v>193</v>
      </c>
      <c r="I383" s="6" t="s">
        <v>63</v>
      </c>
      <c r="L383" s="4" t="s">
        <v>24</v>
      </c>
      <c r="M383" s="7">
        <v>2827.0</v>
      </c>
      <c r="N383" s="7">
        <v>3495.0</v>
      </c>
      <c r="O383" s="7">
        <v>789.0</v>
      </c>
      <c r="P383" s="8"/>
    </row>
    <row r="384" ht="14.25" customHeight="1">
      <c r="A384" s="4" t="s">
        <v>1385</v>
      </c>
      <c r="B384" s="4" t="s">
        <v>1386</v>
      </c>
      <c r="C384" s="4" t="s">
        <v>1387</v>
      </c>
      <c r="D384" s="5">
        <v>3029.0</v>
      </c>
      <c r="E384" s="4" t="s">
        <v>27</v>
      </c>
      <c r="F384" s="4" t="s">
        <v>211</v>
      </c>
      <c r="G384" s="4" t="s">
        <v>1388</v>
      </c>
      <c r="H384" s="6" t="s">
        <v>296</v>
      </c>
      <c r="I384" s="6" t="s">
        <v>294</v>
      </c>
      <c r="L384" s="4" t="s">
        <v>34</v>
      </c>
      <c r="M384" s="7">
        <v>1519.0</v>
      </c>
      <c r="N384" s="7">
        <v>9844.0</v>
      </c>
      <c r="O384" s="7">
        <v>524.0</v>
      </c>
      <c r="P384" s="8"/>
    </row>
    <row r="385" ht="14.25" customHeight="1">
      <c r="A385" s="4" t="s">
        <v>1389</v>
      </c>
      <c r="B385" s="4" t="s">
        <v>1390</v>
      </c>
      <c r="C385" s="4" t="s">
        <v>1389</v>
      </c>
      <c r="D385" s="5">
        <v>730065.0</v>
      </c>
      <c r="E385" s="4" t="s">
        <v>18</v>
      </c>
      <c r="H385" s="4" t="s">
        <v>414</v>
      </c>
      <c r="I385" s="6" t="s">
        <v>415</v>
      </c>
      <c r="L385" s="4" t="s">
        <v>24</v>
      </c>
      <c r="M385" s="7">
        <v>1816.0</v>
      </c>
      <c r="N385" s="7">
        <v>89383.0</v>
      </c>
      <c r="O385" s="7">
        <v>689.0</v>
      </c>
      <c r="P385" s="8"/>
    </row>
    <row r="386" ht="14.25" customHeight="1">
      <c r="A386" s="4" t="s">
        <v>1391</v>
      </c>
      <c r="B386" s="4" t="s">
        <v>1392</v>
      </c>
      <c r="C386" s="4" t="s">
        <v>1391</v>
      </c>
      <c r="D386" s="5">
        <v>2128066.0</v>
      </c>
      <c r="E386" s="4" t="s">
        <v>27</v>
      </c>
      <c r="F386" s="4" t="s">
        <v>245</v>
      </c>
      <c r="L386" s="4" t="s">
        <v>29</v>
      </c>
      <c r="M386" s="7">
        <v>0.0</v>
      </c>
      <c r="N386" s="7">
        <v>56.0</v>
      </c>
      <c r="O386" s="7">
        <v>0.0</v>
      </c>
      <c r="P386" s="8"/>
    </row>
    <row r="387" ht="14.25" customHeight="1">
      <c r="A387" s="4" t="s">
        <v>1393</v>
      </c>
      <c r="B387" s="4" t="s">
        <v>1394</v>
      </c>
      <c r="C387" s="4" t="s">
        <v>1393</v>
      </c>
      <c r="D387" s="5">
        <v>2103573.0</v>
      </c>
      <c r="E387" s="4" t="s">
        <v>18</v>
      </c>
      <c r="H387" s="4" t="s">
        <v>396</v>
      </c>
      <c r="I387" s="6" t="s">
        <v>397</v>
      </c>
      <c r="L387" s="4" t="s">
        <v>24</v>
      </c>
      <c r="M387" s="7">
        <v>11332.0</v>
      </c>
      <c r="N387" s="7">
        <v>201.0</v>
      </c>
      <c r="O387" s="7">
        <v>4651.0</v>
      </c>
      <c r="P387" s="8"/>
    </row>
    <row r="388" ht="14.25" customHeight="1">
      <c r="A388" s="4" t="s">
        <v>1395</v>
      </c>
      <c r="B388" s="4" t="s">
        <v>1396</v>
      </c>
      <c r="C388" s="4" t="s">
        <v>1395</v>
      </c>
      <c r="D388" s="5">
        <v>1413946.0</v>
      </c>
      <c r="E388" s="4" t="s">
        <v>27</v>
      </c>
      <c r="F388" s="4" t="s">
        <v>245</v>
      </c>
      <c r="G388" s="4" t="s">
        <v>168</v>
      </c>
      <c r="L388" s="4" t="s">
        <v>34</v>
      </c>
      <c r="M388" s="7">
        <v>1014.0</v>
      </c>
      <c r="N388" s="7">
        <v>31.0</v>
      </c>
      <c r="O388" s="7">
        <v>769.0</v>
      </c>
      <c r="P388" s="8"/>
    </row>
    <row r="389" ht="14.25" customHeight="1">
      <c r="A389" s="4" t="s">
        <v>1397</v>
      </c>
      <c r="B389" s="4" t="s">
        <v>1398</v>
      </c>
      <c r="C389" s="4" t="s">
        <v>1399</v>
      </c>
      <c r="D389" s="5">
        <v>1224216.0</v>
      </c>
      <c r="E389" s="4" t="s">
        <v>18</v>
      </c>
      <c r="H389" s="4" t="s">
        <v>213</v>
      </c>
      <c r="I389" s="6" t="s">
        <v>214</v>
      </c>
      <c r="J389" s="4" t="s">
        <v>1400</v>
      </c>
      <c r="L389" s="4" t="s">
        <v>65</v>
      </c>
      <c r="M389" s="7">
        <v>66.0</v>
      </c>
      <c r="N389" s="7">
        <v>117.0</v>
      </c>
      <c r="O389" s="7">
        <v>55.0</v>
      </c>
      <c r="P389" s="8"/>
    </row>
    <row r="390" ht="14.25" customHeight="1">
      <c r="A390" s="4" t="s">
        <v>1401</v>
      </c>
      <c r="B390" s="4" t="s">
        <v>1402</v>
      </c>
      <c r="C390" s="4" t="s">
        <v>1401</v>
      </c>
      <c r="D390" s="5">
        <v>844805.0</v>
      </c>
      <c r="E390" s="4" t="s">
        <v>18</v>
      </c>
      <c r="H390" s="4" t="s">
        <v>141</v>
      </c>
      <c r="I390" s="6" t="s">
        <v>142</v>
      </c>
      <c r="L390" s="4" t="s">
        <v>39</v>
      </c>
      <c r="M390" s="7">
        <v>5785.0</v>
      </c>
      <c r="N390" s="7">
        <v>8642.0</v>
      </c>
      <c r="O390" s="7">
        <v>1858.0</v>
      </c>
      <c r="P390" s="9" t="s">
        <v>40</v>
      </c>
    </row>
    <row r="391" ht="14.25" customHeight="1">
      <c r="A391" s="6" t="s">
        <v>1403</v>
      </c>
      <c r="B391" s="6" t="s">
        <v>1404</v>
      </c>
      <c r="C391" s="6" t="s">
        <v>1403</v>
      </c>
      <c r="D391" s="10">
        <v>1847291.0</v>
      </c>
      <c r="E391" s="6" t="s">
        <v>18</v>
      </c>
      <c r="F391" s="6" t="s">
        <v>1405</v>
      </c>
      <c r="G391" s="6" t="s">
        <v>1406</v>
      </c>
      <c r="H391" s="6" t="s">
        <v>1407</v>
      </c>
      <c r="I391" s="6" t="s">
        <v>38</v>
      </c>
      <c r="J391" s="16" t="s">
        <v>1408</v>
      </c>
      <c r="K391" s="6"/>
      <c r="L391" s="6" t="s">
        <v>71</v>
      </c>
      <c r="M391" s="7">
        <v>4474.0</v>
      </c>
      <c r="N391" s="7">
        <v>390.0</v>
      </c>
      <c r="O391" s="7">
        <v>1160.0</v>
      </c>
      <c r="P391" s="8"/>
    </row>
    <row r="392" ht="14.25" customHeight="1">
      <c r="A392" s="4" t="s">
        <v>1409</v>
      </c>
      <c r="B392" s="4" t="s">
        <v>1410</v>
      </c>
      <c r="C392" s="4" t="s">
        <v>1409</v>
      </c>
      <c r="D392" s="5">
        <v>13415.0</v>
      </c>
      <c r="E392" s="4" t="s">
        <v>18</v>
      </c>
      <c r="H392" s="4" t="s">
        <v>1411</v>
      </c>
      <c r="I392" s="6" t="s">
        <v>1412</v>
      </c>
      <c r="L392" s="4" t="s">
        <v>24</v>
      </c>
      <c r="M392" s="7">
        <v>201.0</v>
      </c>
      <c r="N392" s="7">
        <v>15.0</v>
      </c>
      <c r="O392" s="7">
        <v>117.0</v>
      </c>
      <c r="P392" s="8"/>
    </row>
    <row r="393" ht="14.25" customHeight="1">
      <c r="A393" s="4" t="s">
        <v>1413</v>
      </c>
      <c r="B393" s="4" t="s">
        <v>1414</v>
      </c>
      <c r="C393" s="4" t="s">
        <v>1413</v>
      </c>
      <c r="D393" s="5">
        <v>273813.0</v>
      </c>
      <c r="E393" s="4" t="s">
        <v>27</v>
      </c>
      <c r="F393" s="4" t="s">
        <v>189</v>
      </c>
      <c r="G393" s="4" t="s">
        <v>1415</v>
      </c>
      <c r="L393" s="4" t="s">
        <v>34</v>
      </c>
      <c r="M393" s="7">
        <v>0.0</v>
      </c>
      <c r="N393" s="7">
        <v>0.0</v>
      </c>
      <c r="O393" s="7">
        <v>0.0</v>
      </c>
      <c r="P393" s="8"/>
    </row>
    <row r="394" ht="14.25" customHeight="1">
      <c r="A394" s="4" t="s">
        <v>1416</v>
      </c>
      <c r="B394" s="4" t="s">
        <v>1417</v>
      </c>
      <c r="C394" s="4" t="s">
        <v>1416</v>
      </c>
      <c r="D394" s="5">
        <v>1442912.0</v>
      </c>
      <c r="E394" s="4" t="s">
        <v>18</v>
      </c>
      <c r="H394" s="4" t="s">
        <v>70</v>
      </c>
      <c r="I394" s="6" t="s">
        <v>38</v>
      </c>
      <c r="L394" s="4" t="s">
        <v>24</v>
      </c>
      <c r="M394" s="7">
        <v>22398.0</v>
      </c>
      <c r="N394" s="7">
        <v>2841.0</v>
      </c>
      <c r="O394" s="7">
        <v>4762.0</v>
      </c>
      <c r="P394" s="8"/>
    </row>
    <row r="395" ht="14.25" customHeight="1">
      <c r="A395" s="4" t="s">
        <v>1418</v>
      </c>
      <c r="B395" s="4" t="s">
        <v>1419</v>
      </c>
      <c r="C395" s="4" t="s">
        <v>1418</v>
      </c>
      <c r="D395" s="5">
        <v>2492269.0</v>
      </c>
      <c r="E395" s="4" t="s">
        <v>27</v>
      </c>
      <c r="F395" s="4" t="s">
        <v>211</v>
      </c>
      <c r="G395" s="4" t="s">
        <v>1420</v>
      </c>
      <c r="L395" s="4" t="s">
        <v>34</v>
      </c>
      <c r="M395" s="7">
        <v>0.0</v>
      </c>
      <c r="N395" s="7">
        <v>0.0</v>
      </c>
      <c r="O395" s="7">
        <v>0.0</v>
      </c>
      <c r="P395" s="8"/>
    </row>
    <row r="396" ht="14.25" customHeight="1">
      <c r="A396" s="4" t="s">
        <v>1421</v>
      </c>
      <c r="B396" s="4" t="s">
        <v>1422</v>
      </c>
      <c r="C396" s="4" t="s">
        <v>1421</v>
      </c>
      <c r="D396" s="5">
        <v>645.0</v>
      </c>
      <c r="E396" s="4" t="s">
        <v>43</v>
      </c>
      <c r="F396" s="4" t="s">
        <v>1423</v>
      </c>
      <c r="L396" s="4" t="s">
        <v>34</v>
      </c>
      <c r="M396" s="7">
        <v>793.0</v>
      </c>
      <c r="N396" s="7">
        <v>40.0</v>
      </c>
      <c r="O396" s="7">
        <v>378.0</v>
      </c>
      <c r="P396" s="8"/>
    </row>
    <row r="397" ht="14.25" customHeight="1">
      <c r="A397" s="4" t="s">
        <v>1424</v>
      </c>
      <c r="B397" s="4" t="s">
        <v>1425</v>
      </c>
      <c r="D397" s="5">
        <v>1172691.0</v>
      </c>
      <c r="E397" s="4" t="s">
        <v>18</v>
      </c>
      <c r="H397" s="4" t="s">
        <v>315</v>
      </c>
      <c r="I397" s="6" t="s">
        <v>316</v>
      </c>
      <c r="L397" s="4" t="s">
        <v>39</v>
      </c>
      <c r="M397" s="7">
        <v>1329.0</v>
      </c>
      <c r="N397" s="7">
        <v>523.0</v>
      </c>
      <c r="O397" s="7">
        <v>521.0</v>
      </c>
      <c r="P397" s="8"/>
    </row>
    <row r="398" ht="14.25" customHeight="1">
      <c r="A398" s="4" t="s">
        <v>1426</v>
      </c>
      <c r="B398" s="4" t="s">
        <v>1427</v>
      </c>
      <c r="D398" s="5">
        <v>166692.0</v>
      </c>
      <c r="E398" s="4" t="s">
        <v>27</v>
      </c>
      <c r="F398" s="4" t="s">
        <v>1428</v>
      </c>
      <c r="L398" s="4" t="s">
        <v>29</v>
      </c>
      <c r="M398" s="7">
        <v>54.0</v>
      </c>
      <c r="N398" s="7">
        <v>0.0</v>
      </c>
      <c r="O398" s="7">
        <v>50.0</v>
      </c>
      <c r="P398" s="8"/>
    </row>
    <row r="399" ht="14.25" customHeight="1">
      <c r="A399" s="4" t="s">
        <v>1429</v>
      </c>
      <c r="B399" s="4" t="s">
        <v>1430</v>
      </c>
      <c r="D399" s="5">
        <v>230678.0</v>
      </c>
      <c r="E399" s="4" t="s">
        <v>18</v>
      </c>
      <c r="J399" s="4" t="s">
        <v>821</v>
      </c>
      <c r="L399" s="4" t="s">
        <v>65</v>
      </c>
      <c r="M399" s="7">
        <v>1023.0</v>
      </c>
      <c r="N399" s="7">
        <v>1341.0</v>
      </c>
      <c r="O399" s="7">
        <v>670.0</v>
      </c>
      <c r="P399" s="8"/>
    </row>
    <row r="400" ht="14.25" customHeight="1">
      <c r="A400" s="4" t="s">
        <v>1431</v>
      </c>
      <c r="B400" s="4" t="s">
        <v>1432</v>
      </c>
      <c r="D400" s="5">
        <v>776740.0</v>
      </c>
      <c r="E400" s="4" t="s">
        <v>18</v>
      </c>
      <c r="H400" s="4" t="s">
        <v>193</v>
      </c>
      <c r="I400" s="6" t="s">
        <v>63</v>
      </c>
      <c r="L400" s="4" t="s">
        <v>65</v>
      </c>
      <c r="M400" s="7">
        <v>224.0</v>
      </c>
      <c r="N400" s="7">
        <v>24492.0</v>
      </c>
      <c r="O400" s="7">
        <v>168.0</v>
      </c>
      <c r="P400" s="8"/>
    </row>
    <row r="401" ht="14.25" customHeight="1">
      <c r="A401" s="4" t="s">
        <v>1433</v>
      </c>
      <c r="B401" s="4" t="s">
        <v>1434</v>
      </c>
      <c r="C401" s="4" t="s">
        <v>1433</v>
      </c>
      <c r="D401" s="5">
        <v>302562.0</v>
      </c>
      <c r="E401" s="4" t="s">
        <v>18</v>
      </c>
      <c r="H401" s="4" t="s">
        <v>1435</v>
      </c>
      <c r="I401" s="6" t="s">
        <v>147</v>
      </c>
      <c r="L401" s="4" t="s">
        <v>378</v>
      </c>
      <c r="M401" s="7">
        <v>11823.0</v>
      </c>
      <c r="N401" s="7">
        <v>100074.0</v>
      </c>
      <c r="O401" s="7">
        <v>3628.0</v>
      </c>
      <c r="P401" s="9" t="s">
        <v>40</v>
      </c>
    </row>
    <row r="402" ht="14.25" customHeight="1">
      <c r="A402" s="4" t="s">
        <v>1436</v>
      </c>
      <c r="B402" s="4" t="s">
        <v>1437</v>
      </c>
      <c r="C402" s="4" t="s">
        <v>1436</v>
      </c>
      <c r="D402" s="5">
        <v>6255126.0</v>
      </c>
      <c r="E402" s="4" t="s">
        <v>27</v>
      </c>
      <c r="F402" s="4" t="s">
        <v>250</v>
      </c>
      <c r="G402" s="4" t="s">
        <v>1438</v>
      </c>
      <c r="L402" s="4" t="s">
        <v>34</v>
      </c>
      <c r="M402" s="7">
        <v>1.0</v>
      </c>
      <c r="N402" s="7">
        <v>0.0</v>
      </c>
      <c r="O402" s="7">
        <v>0.0</v>
      </c>
      <c r="P402" s="8"/>
    </row>
    <row r="403" ht="14.25" customHeight="1">
      <c r="A403" s="6" t="s">
        <v>1439</v>
      </c>
      <c r="B403" s="6" t="s">
        <v>1440</v>
      </c>
      <c r="C403" s="6" t="s">
        <v>1439</v>
      </c>
      <c r="D403" s="10">
        <v>1477768.0</v>
      </c>
      <c r="E403" s="6" t="s">
        <v>18</v>
      </c>
      <c r="H403" s="6" t="s">
        <v>296</v>
      </c>
      <c r="I403" s="6" t="s">
        <v>294</v>
      </c>
      <c r="L403" s="6" t="s">
        <v>297</v>
      </c>
      <c r="M403" s="6">
        <v>5204.0</v>
      </c>
      <c r="N403" s="6">
        <v>158468.0</v>
      </c>
      <c r="O403" s="6">
        <v>1415.0</v>
      </c>
    </row>
    <row r="404" ht="14.25" customHeight="1">
      <c r="A404" s="4" t="s">
        <v>1441</v>
      </c>
      <c r="B404" s="4" t="s">
        <v>1442</v>
      </c>
      <c r="D404" s="5">
        <v>3049529.0</v>
      </c>
      <c r="E404" s="4" t="s">
        <v>27</v>
      </c>
      <c r="F404" s="4" t="s">
        <v>861</v>
      </c>
      <c r="L404" s="4" t="s">
        <v>29</v>
      </c>
      <c r="M404" s="7">
        <v>1.0</v>
      </c>
      <c r="N404" s="7">
        <v>0.0</v>
      </c>
      <c r="O404" s="7">
        <v>1.0</v>
      </c>
      <c r="P404" s="8"/>
    </row>
    <row r="405" ht="14.25" customHeight="1">
      <c r="B405" s="4" t="s">
        <v>1443</v>
      </c>
      <c r="D405" s="5">
        <v>120940.0</v>
      </c>
      <c r="E405" s="4" t="s">
        <v>18</v>
      </c>
      <c r="H405" s="6" t="s">
        <v>70</v>
      </c>
      <c r="I405" s="6" t="s">
        <v>38</v>
      </c>
      <c r="L405" s="4" t="s">
        <v>24</v>
      </c>
      <c r="M405" s="7">
        <v>5566.0</v>
      </c>
      <c r="N405" s="7">
        <v>136604.0</v>
      </c>
      <c r="O405" s="7">
        <v>2504.0</v>
      </c>
      <c r="P405" s="8"/>
    </row>
    <row r="406" ht="14.25" customHeight="1">
      <c r="A406" s="4" t="s">
        <v>1444</v>
      </c>
      <c r="B406" s="4" t="s">
        <v>1445</v>
      </c>
      <c r="C406" s="4" t="s">
        <v>1444</v>
      </c>
      <c r="D406" s="5">
        <v>2937765.0</v>
      </c>
      <c r="E406" s="4" t="s">
        <v>27</v>
      </c>
      <c r="F406" s="4" t="s">
        <v>75</v>
      </c>
      <c r="G406" s="4" t="s">
        <v>1446</v>
      </c>
      <c r="L406" s="4" t="s">
        <v>34</v>
      </c>
      <c r="M406" s="7">
        <v>15.0</v>
      </c>
      <c r="N406" s="7">
        <v>28.0</v>
      </c>
      <c r="O406" s="7">
        <v>15.0</v>
      </c>
      <c r="P406" s="8"/>
    </row>
    <row r="407" ht="14.25" customHeight="1">
      <c r="A407" s="4" t="s">
        <v>1447</v>
      </c>
      <c r="B407" s="4" t="s">
        <v>1448</v>
      </c>
      <c r="C407" s="4" t="s">
        <v>1447</v>
      </c>
      <c r="D407" s="5">
        <v>34957.0</v>
      </c>
      <c r="E407" s="4" t="s">
        <v>27</v>
      </c>
      <c r="F407" s="4" t="s">
        <v>627</v>
      </c>
      <c r="G407" s="4" t="s">
        <v>1449</v>
      </c>
      <c r="L407" s="4" t="s">
        <v>34</v>
      </c>
      <c r="M407" s="7">
        <v>343.0</v>
      </c>
      <c r="N407" s="7">
        <v>27.0</v>
      </c>
      <c r="O407" s="7">
        <v>238.0</v>
      </c>
      <c r="P407" s="9" t="s">
        <v>40</v>
      </c>
    </row>
    <row r="408" ht="14.25" customHeight="1">
      <c r="A408" s="4" t="s">
        <v>1450</v>
      </c>
      <c r="B408" s="4" t="s">
        <v>1451</v>
      </c>
      <c r="C408" s="4" t="s">
        <v>1450</v>
      </c>
      <c r="D408" s="5">
        <v>5999.0</v>
      </c>
      <c r="E408" s="4" t="s">
        <v>43</v>
      </c>
      <c r="H408" s="4" t="s">
        <v>1281</v>
      </c>
      <c r="I408" s="6" t="s">
        <v>768</v>
      </c>
      <c r="L408" s="4" t="s">
        <v>24</v>
      </c>
      <c r="M408" s="7">
        <v>3409.0</v>
      </c>
      <c r="N408" s="7">
        <v>1108.0</v>
      </c>
      <c r="O408" s="7">
        <v>1516.0</v>
      </c>
      <c r="P408" s="8"/>
    </row>
    <row r="409" ht="14.25" customHeight="1">
      <c r="A409" s="4" t="s">
        <v>1452</v>
      </c>
      <c r="B409" s="4" t="s">
        <v>1453</v>
      </c>
      <c r="C409" s="4" t="s">
        <v>1452</v>
      </c>
      <c r="D409" s="5">
        <v>1093817.0</v>
      </c>
      <c r="E409" s="4" t="s">
        <v>18</v>
      </c>
      <c r="H409" s="4" t="s">
        <v>315</v>
      </c>
      <c r="I409" s="6" t="s">
        <v>316</v>
      </c>
      <c r="L409" s="4" t="s">
        <v>24</v>
      </c>
      <c r="M409" s="7">
        <v>505.0</v>
      </c>
      <c r="N409" s="7">
        <v>2650.0</v>
      </c>
      <c r="O409" s="7">
        <v>423.0</v>
      </c>
      <c r="P409" s="8"/>
    </row>
    <row r="410" ht="14.25" customHeight="1">
      <c r="A410" s="6" t="s">
        <v>1454</v>
      </c>
      <c r="B410" s="6" t="s">
        <v>1455</v>
      </c>
      <c r="C410" s="6" t="s">
        <v>1455</v>
      </c>
      <c r="D410" s="10">
        <v>14284.0</v>
      </c>
      <c r="E410" s="6" t="s">
        <v>18</v>
      </c>
      <c r="H410" s="6" t="s">
        <v>296</v>
      </c>
      <c r="I410" s="6" t="s">
        <v>294</v>
      </c>
      <c r="L410" s="6" t="s">
        <v>297</v>
      </c>
      <c r="M410" s="6">
        <v>1467.0</v>
      </c>
      <c r="N410" s="6">
        <v>3405.0</v>
      </c>
      <c r="O410" s="6">
        <v>893.0</v>
      </c>
    </row>
    <row r="411" ht="14.25" customHeight="1">
      <c r="A411" s="4" t="s">
        <v>1456</v>
      </c>
      <c r="B411" s="4" t="s">
        <v>1457</v>
      </c>
      <c r="C411" s="4" t="s">
        <v>1456</v>
      </c>
      <c r="D411" s="5">
        <v>5998302.0</v>
      </c>
      <c r="E411" s="4" t="s">
        <v>18</v>
      </c>
      <c r="H411" s="4" t="s">
        <v>70</v>
      </c>
      <c r="I411" s="6" t="s">
        <v>38</v>
      </c>
      <c r="L411" s="4" t="s">
        <v>24</v>
      </c>
      <c r="M411" s="7">
        <v>1577.0</v>
      </c>
      <c r="N411" s="7">
        <v>481.0</v>
      </c>
      <c r="O411" s="7">
        <v>600.0</v>
      </c>
      <c r="P411" s="8"/>
    </row>
    <row r="412" ht="14.25" customHeight="1">
      <c r="A412" s="4" t="s">
        <v>1458</v>
      </c>
      <c r="B412" s="4" t="s">
        <v>1459</v>
      </c>
      <c r="C412" s="4" t="s">
        <v>1458</v>
      </c>
      <c r="D412" s="5">
        <v>3995942.0</v>
      </c>
      <c r="E412" s="4" t="s">
        <v>27</v>
      </c>
      <c r="F412" s="4" t="s">
        <v>392</v>
      </c>
      <c r="G412" s="4" t="s">
        <v>1196</v>
      </c>
      <c r="L412" s="4" t="s">
        <v>34</v>
      </c>
      <c r="M412" s="7">
        <v>49.0</v>
      </c>
      <c r="N412" s="7">
        <v>0.0</v>
      </c>
      <c r="O412" s="7">
        <v>42.0</v>
      </c>
      <c r="P412" s="8"/>
    </row>
    <row r="413" ht="14.25" customHeight="1">
      <c r="A413" s="4" t="s">
        <v>1460</v>
      </c>
      <c r="B413" s="4" t="s">
        <v>1461</v>
      </c>
      <c r="D413" s="5">
        <v>4528.0</v>
      </c>
      <c r="E413" s="4" t="s">
        <v>27</v>
      </c>
      <c r="F413" s="4" t="s">
        <v>356</v>
      </c>
      <c r="H413" s="4" t="s">
        <v>106</v>
      </c>
      <c r="I413" s="6" t="s">
        <v>107</v>
      </c>
      <c r="L413" s="4" t="s">
        <v>39</v>
      </c>
      <c r="M413" s="7">
        <v>1.0</v>
      </c>
      <c r="N413" s="7">
        <v>107.0</v>
      </c>
      <c r="O413" s="7">
        <v>1.0</v>
      </c>
      <c r="P413" s="8"/>
    </row>
    <row r="414" ht="14.25" customHeight="1">
      <c r="A414" s="4" t="s">
        <v>1462</v>
      </c>
      <c r="B414" s="4" t="s">
        <v>1463</v>
      </c>
      <c r="C414" s="4" t="s">
        <v>1464</v>
      </c>
      <c r="D414" s="5">
        <v>382159.0</v>
      </c>
      <c r="E414" s="4" t="s">
        <v>18</v>
      </c>
      <c r="H414" s="4" t="s">
        <v>536</v>
      </c>
      <c r="I414" s="6" t="s">
        <v>537</v>
      </c>
      <c r="L414" s="4" t="s">
        <v>24</v>
      </c>
      <c r="M414" s="7">
        <v>3400.0</v>
      </c>
      <c r="N414" s="7">
        <v>4156.0</v>
      </c>
      <c r="O414" s="7">
        <v>1173.0</v>
      </c>
      <c r="P414" s="8"/>
    </row>
    <row r="415" ht="14.25" customHeight="1">
      <c r="A415" s="4" t="s">
        <v>1465</v>
      </c>
      <c r="B415" s="4" t="s">
        <v>1466</v>
      </c>
      <c r="C415" s="4" t="s">
        <v>1465</v>
      </c>
      <c r="D415" s="5">
        <v>4791628.0</v>
      </c>
      <c r="E415" s="4" t="s">
        <v>27</v>
      </c>
      <c r="F415" s="4" t="s">
        <v>217</v>
      </c>
      <c r="G415" s="4" t="s">
        <v>1467</v>
      </c>
      <c r="L415" s="4" t="s">
        <v>34</v>
      </c>
      <c r="M415" s="7">
        <v>47.0</v>
      </c>
      <c r="N415" s="7">
        <v>0.0</v>
      </c>
      <c r="O415" s="7">
        <v>47.0</v>
      </c>
      <c r="P415" s="8"/>
    </row>
    <row r="416" ht="14.25" customHeight="1">
      <c r="A416" s="4" t="s">
        <v>1468</v>
      </c>
      <c r="B416" s="4" t="s">
        <v>1469</v>
      </c>
      <c r="C416" s="4" t="s">
        <v>1468</v>
      </c>
      <c r="D416" s="5">
        <v>246323.0</v>
      </c>
      <c r="E416" s="4" t="s">
        <v>27</v>
      </c>
      <c r="F416" s="4" t="s">
        <v>1470</v>
      </c>
      <c r="G416" s="4" t="s">
        <v>168</v>
      </c>
      <c r="L416" s="4" t="s">
        <v>34</v>
      </c>
      <c r="M416" s="7">
        <v>5524.0</v>
      </c>
      <c r="N416" s="7">
        <v>11662.0</v>
      </c>
      <c r="O416" s="7">
        <v>2797.0</v>
      </c>
      <c r="P416" s="8"/>
    </row>
    <row r="417" ht="14.25" customHeight="1">
      <c r="A417" s="4" t="s">
        <v>1471</v>
      </c>
      <c r="B417" s="4" t="s">
        <v>1472</v>
      </c>
      <c r="C417" s="4" t="s">
        <v>1471</v>
      </c>
      <c r="D417" s="5">
        <v>15289.0</v>
      </c>
      <c r="E417" s="4" t="s">
        <v>27</v>
      </c>
      <c r="F417" s="4" t="s">
        <v>189</v>
      </c>
      <c r="G417" s="4" t="s">
        <v>447</v>
      </c>
      <c r="L417" s="4" t="s">
        <v>34</v>
      </c>
      <c r="M417" s="7">
        <v>1262.0</v>
      </c>
      <c r="N417" s="7">
        <v>216.0</v>
      </c>
      <c r="O417" s="7">
        <v>693.0</v>
      </c>
      <c r="P417" s="8"/>
    </row>
    <row r="418" ht="14.25" customHeight="1">
      <c r="A418" s="4" t="s">
        <v>1473</v>
      </c>
      <c r="B418" s="4" t="s">
        <v>1474</v>
      </c>
      <c r="C418" s="4" t="s">
        <v>1473</v>
      </c>
      <c r="D418" s="5">
        <v>3958026.0</v>
      </c>
      <c r="E418" s="4" t="s">
        <v>18</v>
      </c>
      <c r="H418" s="4" t="s">
        <v>687</v>
      </c>
      <c r="I418" s="6" t="s">
        <v>38</v>
      </c>
      <c r="L418" s="4" t="s">
        <v>24</v>
      </c>
      <c r="M418" s="7">
        <v>67.0</v>
      </c>
      <c r="N418" s="7">
        <v>105.0</v>
      </c>
      <c r="O418" s="7">
        <v>55.0</v>
      </c>
      <c r="P418" s="8"/>
    </row>
    <row r="419" ht="14.25" customHeight="1">
      <c r="A419" s="4" t="s">
        <v>1475</v>
      </c>
      <c r="B419" s="4" t="s">
        <v>1476</v>
      </c>
      <c r="C419" s="4" t="s">
        <v>1475</v>
      </c>
      <c r="D419" s="5">
        <v>1349853.0</v>
      </c>
      <c r="E419" s="4" t="s">
        <v>27</v>
      </c>
      <c r="F419" s="4" t="s">
        <v>1477</v>
      </c>
      <c r="G419" s="4" t="s">
        <v>406</v>
      </c>
      <c r="L419" s="4" t="s">
        <v>34</v>
      </c>
      <c r="M419" s="7">
        <v>36.0</v>
      </c>
      <c r="N419" s="7">
        <v>26.0</v>
      </c>
      <c r="O419" s="7">
        <v>34.0</v>
      </c>
      <c r="P419" s="8"/>
    </row>
    <row r="420" ht="14.25" customHeight="1">
      <c r="A420" s="4" t="s">
        <v>1478</v>
      </c>
      <c r="B420" s="4" t="s">
        <v>1479</v>
      </c>
      <c r="C420" s="4" t="s">
        <v>1478</v>
      </c>
      <c r="D420" s="5">
        <v>356681.0</v>
      </c>
      <c r="E420" s="4" t="s">
        <v>27</v>
      </c>
      <c r="F420" s="4" t="s">
        <v>189</v>
      </c>
      <c r="G420" s="4" t="s">
        <v>1480</v>
      </c>
      <c r="L420" s="4" t="s">
        <v>34</v>
      </c>
      <c r="M420" s="7">
        <v>14.0</v>
      </c>
      <c r="N420" s="7">
        <v>0.0</v>
      </c>
      <c r="O420" s="7">
        <v>6.0</v>
      </c>
      <c r="P420" s="8"/>
    </row>
    <row r="421" ht="14.25" customHeight="1">
      <c r="A421" s="4" t="s">
        <v>1481</v>
      </c>
      <c r="B421" s="4" t="s">
        <v>1482</v>
      </c>
      <c r="C421" s="4" t="s">
        <v>1481</v>
      </c>
      <c r="D421" s="5">
        <v>1364.0</v>
      </c>
      <c r="E421" s="4" t="s">
        <v>27</v>
      </c>
      <c r="F421" s="4" t="s">
        <v>241</v>
      </c>
      <c r="L421" s="4" t="s">
        <v>242</v>
      </c>
      <c r="M421" s="7">
        <v>56.0</v>
      </c>
      <c r="N421" s="7">
        <v>0.0</v>
      </c>
      <c r="O421" s="7">
        <v>46.0</v>
      </c>
      <c r="P421" s="8"/>
    </row>
    <row r="422" ht="14.25" customHeight="1">
      <c r="A422" s="4" t="s">
        <v>1483</v>
      </c>
      <c r="B422" s="6" t="s">
        <v>1484</v>
      </c>
      <c r="D422" s="10">
        <v>7800787.0</v>
      </c>
      <c r="E422" s="4" t="s">
        <v>27</v>
      </c>
      <c r="F422" s="4" t="s">
        <v>308</v>
      </c>
      <c r="G422" s="4" t="s">
        <v>1485</v>
      </c>
      <c r="H422" s="6" t="s">
        <v>702</v>
      </c>
      <c r="I422" s="6" t="s">
        <v>703</v>
      </c>
      <c r="L422" s="4" t="s">
        <v>34</v>
      </c>
      <c r="M422" s="7">
        <v>0.0</v>
      </c>
      <c r="N422" s="7">
        <v>0.0</v>
      </c>
      <c r="O422" s="7">
        <v>0.0</v>
      </c>
      <c r="P422" s="8"/>
    </row>
    <row r="423" ht="14.25" customHeight="1">
      <c r="A423" s="4" t="s">
        <v>1486</v>
      </c>
      <c r="B423" s="4" t="s">
        <v>1487</v>
      </c>
      <c r="C423" s="4" t="s">
        <v>1486</v>
      </c>
      <c r="D423" s="5">
        <v>736005.0</v>
      </c>
      <c r="E423" s="4" t="s">
        <v>18</v>
      </c>
      <c r="H423" s="4" t="s">
        <v>352</v>
      </c>
      <c r="I423" s="6" t="s">
        <v>353</v>
      </c>
      <c r="L423" s="4" t="s">
        <v>24</v>
      </c>
      <c r="M423" s="7">
        <v>2250.0</v>
      </c>
      <c r="N423" s="7">
        <v>38802.0</v>
      </c>
      <c r="O423" s="7">
        <v>1389.0</v>
      </c>
      <c r="P423" s="8"/>
    </row>
    <row r="424" ht="14.25" customHeight="1">
      <c r="A424" s="6" t="s">
        <v>1488</v>
      </c>
      <c r="B424" s="6" t="s">
        <v>1489</v>
      </c>
      <c r="C424" s="6" t="s">
        <v>1489</v>
      </c>
      <c r="D424" s="10">
        <v>1.0060164E7</v>
      </c>
      <c r="E424" s="6" t="s">
        <v>18</v>
      </c>
      <c r="F424" s="6" t="s">
        <v>1490</v>
      </c>
      <c r="H424" s="6" t="s">
        <v>1491</v>
      </c>
      <c r="I424" s="6" t="s">
        <v>22</v>
      </c>
      <c r="J424" s="6" t="s">
        <v>1492</v>
      </c>
      <c r="L424" s="6" t="s">
        <v>1493</v>
      </c>
      <c r="M424" s="7"/>
      <c r="N424" s="7"/>
      <c r="O424" s="7"/>
      <c r="P424" s="8"/>
    </row>
    <row r="425" ht="14.25" customHeight="1">
      <c r="A425" s="4" t="s">
        <v>1494</v>
      </c>
      <c r="B425" s="4" t="s">
        <v>1495</v>
      </c>
      <c r="C425" s="4" t="s">
        <v>1494</v>
      </c>
      <c r="D425" s="5">
        <v>1530852.0</v>
      </c>
      <c r="E425" s="4" t="s">
        <v>18</v>
      </c>
      <c r="H425" s="4" t="s">
        <v>1051</v>
      </c>
      <c r="I425" s="6" t="s">
        <v>762</v>
      </c>
      <c r="L425" s="4" t="s">
        <v>65</v>
      </c>
      <c r="M425" s="7">
        <v>8599.0</v>
      </c>
      <c r="N425" s="7">
        <v>658679.0</v>
      </c>
      <c r="O425" s="7">
        <v>3557.0</v>
      </c>
      <c r="P425" s="8"/>
    </row>
    <row r="426" ht="14.25" customHeight="1">
      <c r="A426" s="4" t="s">
        <v>1496</v>
      </c>
      <c r="B426" s="4" t="s">
        <v>1497</v>
      </c>
      <c r="C426" s="4" t="s">
        <v>1496</v>
      </c>
      <c r="D426" s="5">
        <v>1477270.0</v>
      </c>
      <c r="E426" s="4" t="s">
        <v>18</v>
      </c>
      <c r="H426" s="4" t="s">
        <v>968</v>
      </c>
      <c r="I426" s="6" t="s">
        <v>286</v>
      </c>
      <c r="L426" s="4" t="s">
        <v>24</v>
      </c>
      <c r="M426" s="7">
        <v>2412.0</v>
      </c>
      <c r="N426" s="7">
        <v>13511.0</v>
      </c>
      <c r="O426" s="7">
        <v>1017.0</v>
      </c>
      <c r="P426" s="8"/>
    </row>
    <row r="427" ht="14.25" customHeight="1">
      <c r="A427" s="4" t="s">
        <v>1498</v>
      </c>
      <c r="B427" s="4" t="s">
        <v>1499</v>
      </c>
      <c r="D427" s="5">
        <v>2160147.0</v>
      </c>
      <c r="E427" s="4" t="s">
        <v>27</v>
      </c>
      <c r="F427" s="4" t="s">
        <v>623</v>
      </c>
      <c r="G427" s="4" t="s">
        <v>1500</v>
      </c>
      <c r="L427" s="4" t="s">
        <v>29</v>
      </c>
      <c r="M427" s="7">
        <v>299.0</v>
      </c>
      <c r="N427" s="7">
        <v>122.0</v>
      </c>
      <c r="O427" s="7">
        <v>192.0</v>
      </c>
      <c r="P427" s="8"/>
    </row>
    <row r="428" ht="14.25" customHeight="1">
      <c r="A428" s="4" t="s">
        <v>1501</v>
      </c>
      <c r="B428" s="4" t="s">
        <v>1502</v>
      </c>
      <c r="C428" s="4" t="s">
        <v>1503</v>
      </c>
      <c r="D428" s="5">
        <v>1011483.0</v>
      </c>
      <c r="E428" s="4" t="s">
        <v>27</v>
      </c>
      <c r="F428" s="4" t="s">
        <v>861</v>
      </c>
      <c r="G428" s="4" t="s">
        <v>1504</v>
      </c>
      <c r="L428" s="4" t="s">
        <v>34</v>
      </c>
      <c r="M428" s="7">
        <v>2.0</v>
      </c>
      <c r="N428" s="7">
        <v>0.0</v>
      </c>
      <c r="O428" s="7">
        <v>3.0</v>
      </c>
      <c r="P428" s="8"/>
    </row>
    <row r="429" ht="14.25" customHeight="1">
      <c r="A429" s="4" t="s">
        <v>1505</v>
      </c>
      <c r="B429" s="4" t="s">
        <v>1506</v>
      </c>
      <c r="C429" s="4" t="s">
        <v>1505</v>
      </c>
      <c r="D429" s="5">
        <v>180682.0</v>
      </c>
      <c r="E429" s="4" t="s">
        <v>27</v>
      </c>
      <c r="F429" s="4" t="s">
        <v>588</v>
      </c>
      <c r="L429" s="4" t="s">
        <v>34</v>
      </c>
      <c r="M429" s="7">
        <v>659.0</v>
      </c>
      <c r="N429" s="7">
        <v>2032.0</v>
      </c>
      <c r="O429" s="7">
        <v>470.0</v>
      </c>
      <c r="P429" s="8"/>
    </row>
    <row r="430" ht="14.25" customHeight="1">
      <c r="A430" s="4" t="s">
        <v>1507</v>
      </c>
      <c r="B430" s="4" t="s">
        <v>1508</v>
      </c>
      <c r="C430" s="4" t="s">
        <v>1507</v>
      </c>
      <c r="D430" s="5">
        <v>1371047.0</v>
      </c>
      <c r="E430" s="4" t="s">
        <v>27</v>
      </c>
      <c r="F430" s="4" t="s">
        <v>75</v>
      </c>
      <c r="G430" s="4" t="s">
        <v>1509</v>
      </c>
      <c r="L430" s="4" t="s">
        <v>29</v>
      </c>
      <c r="M430" s="7">
        <v>54749.0</v>
      </c>
      <c r="N430" s="7">
        <v>243784.0</v>
      </c>
      <c r="O430" s="7">
        <v>4814.0</v>
      </c>
      <c r="P430" s="8"/>
    </row>
    <row r="431" ht="14.25" customHeight="1">
      <c r="A431" s="4" t="s">
        <v>1510</v>
      </c>
      <c r="B431" s="4" t="s">
        <v>1511</v>
      </c>
      <c r="C431" s="4" t="s">
        <v>1510</v>
      </c>
      <c r="D431" s="5">
        <v>424907.0</v>
      </c>
      <c r="E431" s="4" t="s">
        <v>27</v>
      </c>
      <c r="F431" s="4" t="s">
        <v>228</v>
      </c>
      <c r="G431" s="4" t="s">
        <v>325</v>
      </c>
      <c r="L431" s="4" t="s">
        <v>34</v>
      </c>
      <c r="M431" s="7">
        <v>0.0</v>
      </c>
      <c r="N431" s="7">
        <v>8.0</v>
      </c>
      <c r="O431" s="7">
        <v>0.0</v>
      </c>
      <c r="P431" s="8"/>
    </row>
    <row r="432" ht="14.25" customHeight="1">
      <c r="A432" s="4" t="s">
        <v>1512</v>
      </c>
      <c r="B432" s="4" t="s">
        <v>1513</v>
      </c>
      <c r="C432" s="4" t="s">
        <v>1512</v>
      </c>
      <c r="D432" s="5">
        <v>504456.0</v>
      </c>
      <c r="E432" s="4" t="s">
        <v>18</v>
      </c>
      <c r="H432" s="6" t="s">
        <v>70</v>
      </c>
      <c r="I432" s="6" t="s">
        <v>38</v>
      </c>
      <c r="L432" s="4" t="s">
        <v>53</v>
      </c>
      <c r="M432" s="7">
        <v>11821.0</v>
      </c>
      <c r="N432" s="7">
        <v>120491.0</v>
      </c>
      <c r="O432" s="7">
        <v>2597.0</v>
      </c>
      <c r="P432" s="9" t="s">
        <v>40</v>
      </c>
    </row>
    <row r="433" ht="14.25" customHeight="1">
      <c r="A433" s="4" t="s">
        <v>1514</v>
      </c>
      <c r="B433" s="4" t="s">
        <v>1515</v>
      </c>
      <c r="D433" s="5">
        <v>1068756.0</v>
      </c>
      <c r="E433" s="4" t="s">
        <v>27</v>
      </c>
      <c r="F433" s="4" t="s">
        <v>1516</v>
      </c>
      <c r="G433" s="4" t="s">
        <v>1517</v>
      </c>
      <c r="H433" s="4" t="s">
        <v>1518</v>
      </c>
      <c r="I433" s="6" t="s">
        <v>1519</v>
      </c>
      <c r="L433" s="4" t="s">
        <v>590</v>
      </c>
      <c r="M433" s="7">
        <v>248.0</v>
      </c>
      <c r="N433" s="7">
        <v>2404.0</v>
      </c>
      <c r="O433" s="7">
        <v>188.0</v>
      </c>
      <c r="P433" s="8"/>
    </row>
    <row r="434" ht="14.25" customHeight="1">
      <c r="A434" s="4" t="s">
        <v>1520</v>
      </c>
      <c r="B434" s="4" t="s">
        <v>1521</v>
      </c>
      <c r="C434" s="4" t="s">
        <v>1520</v>
      </c>
      <c r="D434" s="5">
        <v>625752.0</v>
      </c>
      <c r="E434" s="4" t="s">
        <v>27</v>
      </c>
      <c r="F434" s="4" t="s">
        <v>19</v>
      </c>
      <c r="G434" s="4" t="s">
        <v>1522</v>
      </c>
      <c r="H434" s="4" t="s">
        <v>70</v>
      </c>
      <c r="I434" s="6" t="s">
        <v>38</v>
      </c>
      <c r="L434" s="4" t="s">
        <v>590</v>
      </c>
      <c r="M434" s="7">
        <v>1876.0</v>
      </c>
      <c r="N434" s="7">
        <v>127.0</v>
      </c>
      <c r="O434" s="7">
        <v>1012.0</v>
      </c>
      <c r="P434" s="8"/>
    </row>
    <row r="435" ht="14.25" customHeight="1">
      <c r="A435" s="4" t="s">
        <v>1523</v>
      </c>
      <c r="B435" s="4" t="s">
        <v>1524</v>
      </c>
      <c r="C435" s="4" t="s">
        <v>1525</v>
      </c>
      <c r="D435" s="5">
        <v>6598849.0</v>
      </c>
      <c r="E435" s="4" t="s">
        <v>27</v>
      </c>
      <c r="F435" s="4" t="s">
        <v>330</v>
      </c>
      <c r="G435" s="4" t="s">
        <v>1526</v>
      </c>
      <c r="L435" s="4" t="s">
        <v>34</v>
      </c>
      <c r="M435" s="7">
        <v>4.0</v>
      </c>
      <c r="N435" s="7">
        <v>3.0</v>
      </c>
      <c r="O435" s="7">
        <v>4.0</v>
      </c>
      <c r="P435" s="8"/>
    </row>
    <row r="436" ht="14.25" customHeight="1">
      <c r="A436" s="6" t="s">
        <v>1527</v>
      </c>
      <c r="B436" s="6" t="s">
        <v>1528</v>
      </c>
      <c r="D436" s="10">
        <v>6331726.0</v>
      </c>
      <c r="E436" s="6" t="s">
        <v>18</v>
      </c>
      <c r="H436" s="6" t="s">
        <v>296</v>
      </c>
      <c r="I436" s="6" t="s">
        <v>294</v>
      </c>
      <c r="L436" s="6" t="s">
        <v>297</v>
      </c>
      <c r="M436" s="6">
        <v>411.0</v>
      </c>
      <c r="N436" s="6">
        <v>55774.0</v>
      </c>
      <c r="O436" s="6">
        <v>45.0</v>
      </c>
    </row>
    <row r="437" ht="14.25" customHeight="1">
      <c r="A437" s="4" t="s">
        <v>1529</v>
      </c>
      <c r="B437" s="4" t="s">
        <v>1530</v>
      </c>
      <c r="C437" s="4" t="s">
        <v>1529</v>
      </c>
      <c r="D437" s="5">
        <v>270365.0</v>
      </c>
      <c r="E437" s="4" t="s">
        <v>18</v>
      </c>
      <c r="F437" s="4" t="s">
        <v>1531</v>
      </c>
      <c r="G437" s="4" t="s">
        <v>1532</v>
      </c>
      <c r="H437" s="4" t="s">
        <v>352</v>
      </c>
      <c r="I437" s="6" t="s">
        <v>353</v>
      </c>
      <c r="J437" s="4" t="s">
        <v>1533</v>
      </c>
      <c r="L437" s="4" t="s">
        <v>65</v>
      </c>
      <c r="M437" s="7">
        <v>1236.0</v>
      </c>
      <c r="N437" s="7">
        <v>152362.0</v>
      </c>
      <c r="O437" s="7">
        <v>766.0</v>
      </c>
      <c r="P437" s="9" t="s">
        <v>40</v>
      </c>
    </row>
    <row r="438" ht="14.25" customHeight="1">
      <c r="A438" s="4" t="s">
        <v>1534</v>
      </c>
      <c r="B438" s="6" t="s">
        <v>1535</v>
      </c>
      <c r="C438" s="6" t="s">
        <v>1535</v>
      </c>
      <c r="D438" s="10">
        <v>5288695.0</v>
      </c>
      <c r="E438" s="4" t="s">
        <v>27</v>
      </c>
      <c r="F438" s="4" t="s">
        <v>1536</v>
      </c>
      <c r="G438" s="4" t="s">
        <v>168</v>
      </c>
      <c r="H438" s="6" t="s">
        <v>70</v>
      </c>
      <c r="I438" s="6" t="s">
        <v>38</v>
      </c>
      <c r="K438" s="6" t="s">
        <v>1537</v>
      </c>
      <c r="L438" s="4" t="s">
        <v>34</v>
      </c>
      <c r="M438" s="7">
        <v>13.0</v>
      </c>
      <c r="N438" s="7">
        <v>21.0</v>
      </c>
      <c r="O438" s="7">
        <v>10.0</v>
      </c>
      <c r="P438" s="8"/>
    </row>
    <row r="439" ht="14.25" customHeight="1">
      <c r="A439" s="4" t="s">
        <v>1538</v>
      </c>
      <c r="B439" s="4" t="s">
        <v>1539</v>
      </c>
      <c r="C439" s="4" t="s">
        <v>1538</v>
      </c>
      <c r="D439" s="5">
        <v>182047.0</v>
      </c>
      <c r="E439" s="4" t="s">
        <v>18</v>
      </c>
      <c r="H439" s="4" t="s">
        <v>1540</v>
      </c>
      <c r="I439" s="6" t="s">
        <v>1541</v>
      </c>
      <c r="L439" s="4" t="s">
        <v>65</v>
      </c>
      <c r="M439" s="7">
        <v>0.0</v>
      </c>
      <c r="N439" s="7">
        <v>25986.0</v>
      </c>
      <c r="O439" s="7">
        <v>0.0</v>
      </c>
      <c r="P439" s="9" t="s">
        <v>40</v>
      </c>
    </row>
    <row r="440" ht="14.25" customHeight="1">
      <c r="A440" s="4" t="s">
        <v>1542</v>
      </c>
      <c r="B440" s="4" t="s">
        <v>1543</v>
      </c>
      <c r="C440" s="4" t="s">
        <v>1542</v>
      </c>
      <c r="D440" s="5">
        <v>3890768.0</v>
      </c>
      <c r="E440" s="4" t="s">
        <v>18</v>
      </c>
      <c r="H440" s="4" t="s">
        <v>70</v>
      </c>
      <c r="I440" s="6" t="s">
        <v>38</v>
      </c>
      <c r="L440" s="4" t="s">
        <v>24</v>
      </c>
      <c r="M440" s="7">
        <v>2178.0</v>
      </c>
      <c r="N440" s="7">
        <v>11846.0</v>
      </c>
      <c r="O440" s="7">
        <v>1086.0</v>
      </c>
      <c r="P440" s="8"/>
    </row>
    <row r="441" ht="14.25" customHeight="1">
      <c r="A441" s="4" t="s">
        <v>1544</v>
      </c>
      <c r="B441" s="4" t="s">
        <v>1545</v>
      </c>
      <c r="C441" s="4" t="s">
        <v>1544</v>
      </c>
      <c r="D441" s="5">
        <v>710151.0</v>
      </c>
      <c r="E441" s="4" t="s">
        <v>18</v>
      </c>
      <c r="H441" s="4" t="s">
        <v>146</v>
      </c>
      <c r="I441" s="6" t="s">
        <v>147</v>
      </c>
      <c r="J441" s="4" t="s">
        <v>1546</v>
      </c>
      <c r="L441" s="4" t="s">
        <v>65</v>
      </c>
      <c r="M441" s="7">
        <v>74.0</v>
      </c>
      <c r="N441" s="7">
        <v>25324.0</v>
      </c>
      <c r="O441" s="7">
        <v>60.0</v>
      </c>
      <c r="P441" s="8"/>
    </row>
    <row r="442" ht="14.25" customHeight="1">
      <c r="A442" s="4" t="s">
        <v>1547</v>
      </c>
      <c r="B442" s="4" t="s">
        <v>1548</v>
      </c>
      <c r="C442" s="4" t="s">
        <v>1547</v>
      </c>
      <c r="D442" s="5">
        <v>3105728.0</v>
      </c>
      <c r="E442" s="4" t="s">
        <v>18</v>
      </c>
      <c r="H442" s="4" t="s">
        <v>70</v>
      </c>
      <c r="I442" s="6" t="s">
        <v>38</v>
      </c>
      <c r="L442" s="4" t="s">
        <v>24</v>
      </c>
      <c r="M442" s="7">
        <v>1419.0</v>
      </c>
      <c r="N442" s="7">
        <v>20580.0</v>
      </c>
      <c r="O442" s="7">
        <v>373.0</v>
      </c>
      <c r="P442" s="8"/>
    </row>
    <row r="443" ht="14.25" customHeight="1">
      <c r="A443" s="6" t="s">
        <v>1549</v>
      </c>
      <c r="B443" s="6" t="s">
        <v>1550</v>
      </c>
      <c r="C443" s="6" t="s">
        <v>1549</v>
      </c>
      <c r="D443" s="10">
        <v>1597227.0</v>
      </c>
      <c r="E443" s="6" t="s">
        <v>18</v>
      </c>
      <c r="F443" s="6" t="s">
        <v>1551</v>
      </c>
      <c r="G443" s="6" t="s">
        <v>1552</v>
      </c>
      <c r="H443" s="6" t="s">
        <v>1553</v>
      </c>
      <c r="I443" s="6" t="s">
        <v>1271</v>
      </c>
      <c r="J443" s="6" t="s">
        <v>1554</v>
      </c>
      <c r="L443" s="6" t="s">
        <v>71</v>
      </c>
      <c r="M443" s="7">
        <v>300.0</v>
      </c>
      <c r="N443" s="7">
        <v>7.0</v>
      </c>
      <c r="O443" s="7">
        <v>227.0</v>
      </c>
      <c r="P443" s="8"/>
    </row>
    <row r="444" ht="14.25" customHeight="1">
      <c r="A444" s="4" t="s">
        <v>1555</v>
      </c>
      <c r="B444" s="4" t="s">
        <v>1556</v>
      </c>
      <c r="C444" s="4" t="s">
        <v>1557</v>
      </c>
      <c r="D444" s="5">
        <v>659087.0</v>
      </c>
      <c r="E444" s="4" t="s">
        <v>18</v>
      </c>
      <c r="H444" s="4" t="s">
        <v>1558</v>
      </c>
      <c r="I444" s="6" t="s">
        <v>1559</v>
      </c>
      <c r="L444" s="4" t="s">
        <v>39</v>
      </c>
      <c r="M444" s="7">
        <v>7516.0</v>
      </c>
      <c r="N444" s="7">
        <v>2386.0</v>
      </c>
      <c r="O444" s="7">
        <v>1744.0</v>
      </c>
      <c r="P444" s="8"/>
    </row>
    <row r="445" ht="14.25" customHeight="1">
      <c r="A445" s="4" t="s">
        <v>1560</v>
      </c>
      <c r="B445" s="4" t="s">
        <v>1561</v>
      </c>
      <c r="C445" s="4" t="s">
        <v>1560</v>
      </c>
      <c r="D445" s="5">
        <v>4294883.0</v>
      </c>
      <c r="E445" s="4" t="s">
        <v>18</v>
      </c>
      <c r="H445" s="4" t="s">
        <v>70</v>
      </c>
      <c r="I445" s="6" t="s">
        <v>38</v>
      </c>
      <c r="L445" s="4" t="s">
        <v>24</v>
      </c>
      <c r="M445" s="7">
        <v>3715.0</v>
      </c>
      <c r="N445" s="7">
        <v>3977.0</v>
      </c>
      <c r="O445" s="7">
        <v>1248.0</v>
      </c>
      <c r="P445" s="8"/>
    </row>
    <row r="446" ht="14.25" customHeight="1">
      <c r="A446" s="6" t="s">
        <v>1562</v>
      </c>
      <c r="B446" s="6" t="s">
        <v>1563</v>
      </c>
      <c r="C446" s="6" t="s">
        <v>1564</v>
      </c>
      <c r="D446" s="10">
        <v>5354966.0</v>
      </c>
      <c r="E446" s="6" t="s">
        <v>18</v>
      </c>
      <c r="F446" s="6" t="s">
        <v>1565</v>
      </c>
      <c r="G446" s="6" t="s">
        <v>1566</v>
      </c>
      <c r="H446" s="6" t="s">
        <v>1567</v>
      </c>
      <c r="I446" s="6" t="s">
        <v>38</v>
      </c>
      <c r="J446" s="6" t="s">
        <v>1568</v>
      </c>
      <c r="L446" s="6" t="s">
        <v>71</v>
      </c>
      <c r="M446" s="7">
        <v>564.0</v>
      </c>
      <c r="N446" s="7">
        <v>14911.0</v>
      </c>
      <c r="O446" s="7">
        <v>317.0</v>
      </c>
      <c r="P446" s="8"/>
    </row>
    <row r="447" ht="14.25" customHeight="1">
      <c r="A447" s="6" t="s">
        <v>1569</v>
      </c>
      <c r="B447" s="6" t="s">
        <v>1570</v>
      </c>
      <c r="D447" s="10">
        <v>20414.0</v>
      </c>
      <c r="E447" s="6" t="s">
        <v>27</v>
      </c>
      <c r="F447" s="6" t="s">
        <v>308</v>
      </c>
      <c r="G447" s="6" t="s">
        <v>1571</v>
      </c>
      <c r="H447" s="6" t="s">
        <v>310</v>
      </c>
      <c r="I447" s="6" t="s">
        <v>22</v>
      </c>
      <c r="J447" s="6" t="s">
        <v>1572</v>
      </c>
      <c r="L447" s="6" t="s">
        <v>71</v>
      </c>
      <c r="M447" s="7">
        <v>4.0</v>
      </c>
      <c r="N447" s="7">
        <v>5.0</v>
      </c>
      <c r="O447" s="7">
        <v>4.0</v>
      </c>
      <c r="P447" s="8"/>
    </row>
    <row r="448" ht="14.25" customHeight="1">
      <c r="A448" s="4" t="s">
        <v>1573</v>
      </c>
      <c r="B448" s="4" t="s">
        <v>1574</v>
      </c>
      <c r="C448" s="4" t="s">
        <v>1573</v>
      </c>
      <c r="D448" s="5">
        <v>12636.0</v>
      </c>
      <c r="E448" s="4" t="s">
        <v>18</v>
      </c>
      <c r="H448" s="4" t="s">
        <v>1575</v>
      </c>
      <c r="I448" s="6" t="s">
        <v>38</v>
      </c>
      <c r="L448" s="4" t="s">
        <v>53</v>
      </c>
      <c r="M448" s="7">
        <v>22.0</v>
      </c>
      <c r="N448" s="7">
        <v>66324.0</v>
      </c>
      <c r="O448" s="7">
        <v>21.0</v>
      </c>
      <c r="P448" s="9" t="s">
        <v>40</v>
      </c>
    </row>
    <row r="449" ht="14.25" customHeight="1">
      <c r="A449" s="4" t="s">
        <v>1576</v>
      </c>
      <c r="B449" s="4" t="s">
        <v>1577</v>
      </c>
      <c r="C449" s="4" t="s">
        <v>1576</v>
      </c>
      <c r="D449" s="5">
        <v>676094.0</v>
      </c>
      <c r="E449" s="4" t="s">
        <v>27</v>
      </c>
      <c r="F449" s="4" t="s">
        <v>935</v>
      </c>
      <c r="G449" s="4" t="s">
        <v>393</v>
      </c>
      <c r="L449" s="4" t="s">
        <v>34</v>
      </c>
      <c r="M449" s="7">
        <v>112.0</v>
      </c>
      <c r="N449" s="7">
        <v>38.0</v>
      </c>
      <c r="O449" s="7">
        <v>100.0</v>
      </c>
      <c r="P449" s="8"/>
    </row>
    <row r="450" ht="14.25" customHeight="1">
      <c r="A450" s="6" t="s">
        <v>1578</v>
      </c>
      <c r="B450" s="6" t="s">
        <v>1579</v>
      </c>
      <c r="C450" s="6" t="s">
        <v>1580</v>
      </c>
      <c r="D450" s="10">
        <v>1405682.0</v>
      </c>
      <c r="E450" s="6" t="s">
        <v>18</v>
      </c>
      <c r="F450" s="6" t="s">
        <v>1581</v>
      </c>
      <c r="H450" s="6" t="s">
        <v>146</v>
      </c>
      <c r="I450" s="6" t="s">
        <v>147</v>
      </c>
      <c r="L450" s="6" t="s">
        <v>1582</v>
      </c>
      <c r="M450" s="7"/>
      <c r="N450" s="7"/>
      <c r="O450" s="7"/>
      <c r="P450" s="8"/>
    </row>
    <row r="451" ht="14.25" customHeight="1">
      <c r="A451" s="4" t="s">
        <v>1583</v>
      </c>
      <c r="B451" s="4" t="s">
        <v>1584</v>
      </c>
      <c r="C451" s="4" t="s">
        <v>1583</v>
      </c>
      <c r="D451" s="5">
        <v>6818397.0</v>
      </c>
      <c r="E451" s="4" t="s">
        <v>27</v>
      </c>
      <c r="F451" s="4" t="s">
        <v>250</v>
      </c>
      <c r="G451" s="4" t="s">
        <v>1585</v>
      </c>
      <c r="L451" s="4" t="s">
        <v>34</v>
      </c>
      <c r="M451" s="7">
        <v>0.0</v>
      </c>
      <c r="N451" s="7">
        <v>0.0</v>
      </c>
      <c r="O451" s="7">
        <v>0.0</v>
      </c>
      <c r="P451" s="8"/>
    </row>
    <row r="452" ht="14.25" customHeight="1">
      <c r="A452" s="4" t="s">
        <v>1586</v>
      </c>
      <c r="B452" s="4" t="s">
        <v>1587</v>
      </c>
      <c r="C452" s="4" t="s">
        <v>1586</v>
      </c>
      <c r="D452" s="5">
        <v>296618.0</v>
      </c>
      <c r="E452" s="4" t="s">
        <v>18</v>
      </c>
      <c r="H452" s="4" t="s">
        <v>213</v>
      </c>
      <c r="I452" s="6" t="s">
        <v>214</v>
      </c>
      <c r="L452" s="4" t="s">
        <v>24</v>
      </c>
      <c r="M452" s="7">
        <v>38889.0</v>
      </c>
      <c r="N452" s="7">
        <v>29605.0</v>
      </c>
      <c r="O452" s="7">
        <v>2221.0</v>
      </c>
      <c r="P452" s="8"/>
    </row>
    <row r="453" ht="14.25" customHeight="1">
      <c r="A453" s="6" t="s">
        <v>1588</v>
      </c>
      <c r="B453" s="6" t="s">
        <v>1589</v>
      </c>
      <c r="C453" s="6" t="s">
        <v>1588</v>
      </c>
      <c r="D453" s="10">
        <v>2509876.0</v>
      </c>
      <c r="E453" s="6" t="s">
        <v>18</v>
      </c>
      <c r="H453" s="6" t="s">
        <v>70</v>
      </c>
      <c r="I453" s="6" t="s">
        <v>38</v>
      </c>
      <c r="J453" s="6" t="s">
        <v>1590</v>
      </c>
      <c r="L453" s="6" t="s">
        <v>71</v>
      </c>
      <c r="M453" s="7">
        <v>1559.0</v>
      </c>
      <c r="N453" s="7">
        <v>2924.0</v>
      </c>
      <c r="O453" s="7">
        <v>1141.0</v>
      </c>
      <c r="P453" s="8"/>
    </row>
    <row r="454" ht="14.25" customHeight="1">
      <c r="A454" s="4" t="s">
        <v>1591</v>
      </c>
      <c r="B454" s="4" t="s">
        <v>1592</v>
      </c>
      <c r="C454" s="4" t="s">
        <v>1593</v>
      </c>
      <c r="D454" s="5">
        <v>1761100.0</v>
      </c>
      <c r="E454" s="4" t="s">
        <v>27</v>
      </c>
      <c r="F454" s="4" t="s">
        <v>75</v>
      </c>
      <c r="L454" s="4" t="s">
        <v>29</v>
      </c>
      <c r="M454" s="7">
        <v>4850.0</v>
      </c>
      <c r="N454" s="7">
        <v>3148.0</v>
      </c>
      <c r="O454" s="7">
        <v>1040.0</v>
      </c>
      <c r="P454" s="8"/>
    </row>
    <row r="455" ht="14.25" customHeight="1">
      <c r="A455" s="4" t="s">
        <v>1594</v>
      </c>
      <c r="B455" s="4" t="s">
        <v>1595</v>
      </c>
      <c r="D455" s="5">
        <v>42234.0</v>
      </c>
      <c r="E455" s="4" t="s">
        <v>18</v>
      </c>
      <c r="F455" s="4" t="s">
        <v>1596</v>
      </c>
      <c r="G455" s="4" t="s">
        <v>1597</v>
      </c>
      <c r="H455" s="4" t="s">
        <v>50</v>
      </c>
      <c r="I455" s="6" t="s">
        <v>51</v>
      </c>
      <c r="L455" s="4" t="s">
        <v>378</v>
      </c>
      <c r="M455" s="7">
        <v>91.0</v>
      </c>
      <c r="N455" s="7">
        <v>8016.0</v>
      </c>
      <c r="O455" s="7">
        <v>75.0</v>
      </c>
      <c r="P455" s="8"/>
    </row>
    <row r="456" ht="14.25" customHeight="1">
      <c r="A456" s="4" t="s">
        <v>1598</v>
      </c>
      <c r="B456" s="4" t="s">
        <v>1599</v>
      </c>
      <c r="C456" s="4" t="s">
        <v>1598</v>
      </c>
      <c r="D456" s="5">
        <v>1040988.0</v>
      </c>
      <c r="E456" s="4" t="s">
        <v>18</v>
      </c>
      <c r="H456" s="4" t="s">
        <v>1600</v>
      </c>
      <c r="I456" s="6" t="s">
        <v>755</v>
      </c>
      <c r="L456" s="4" t="s">
        <v>1238</v>
      </c>
      <c r="M456" s="7">
        <v>7604.0</v>
      </c>
      <c r="N456" s="7">
        <v>149939.0</v>
      </c>
      <c r="O456" s="7">
        <v>2716.0</v>
      </c>
      <c r="P456" s="9" t="s">
        <v>40</v>
      </c>
    </row>
    <row r="457" ht="14.25" customHeight="1">
      <c r="A457" s="4" t="s">
        <v>1601</v>
      </c>
      <c r="B457" s="4" t="s">
        <v>1602</v>
      </c>
      <c r="C457" s="4" t="s">
        <v>1601</v>
      </c>
      <c r="D457" s="5">
        <v>8523.0</v>
      </c>
      <c r="E457" s="4" t="s">
        <v>18</v>
      </c>
      <c r="H457" s="4" t="s">
        <v>70</v>
      </c>
      <c r="I457" s="6" t="s">
        <v>38</v>
      </c>
      <c r="L457" s="4" t="s">
        <v>39</v>
      </c>
      <c r="M457" s="7">
        <v>4661.0</v>
      </c>
      <c r="N457" s="7">
        <v>464.0</v>
      </c>
      <c r="O457" s="7">
        <v>1571.0</v>
      </c>
      <c r="P457" s="8"/>
    </row>
    <row r="458" ht="14.25" customHeight="1">
      <c r="A458" s="4" t="s">
        <v>1603</v>
      </c>
      <c r="B458" s="4" t="s">
        <v>1604</v>
      </c>
      <c r="C458" s="4" t="s">
        <v>1605</v>
      </c>
      <c r="D458" s="5">
        <v>19400.0</v>
      </c>
      <c r="E458" s="4" t="s">
        <v>27</v>
      </c>
      <c r="F458" s="4" t="s">
        <v>623</v>
      </c>
      <c r="L458" s="4" t="s">
        <v>29</v>
      </c>
      <c r="M458" s="7">
        <v>782.0</v>
      </c>
      <c r="N458" s="7">
        <v>456.0</v>
      </c>
      <c r="O458" s="7">
        <v>443.0</v>
      </c>
      <c r="P458" s="8"/>
    </row>
    <row r="459" ht="14.25" customHeight="1">
      <c r="A459" s="6" t="s">
        <v>1606</v>
      </c>
      <c r="B459" s="6" t="s">
        <v>1607</v>
      </c>
      <c r="C459" s="6" t="s">
        <v>1606</v>
      </c>
      <c r="D459" s="10">
        <v>2664655.0</v>
      </c>
      <c r="E459" s="6" t="s">
        <v>18</v>
      </c>
      <c r="G459" s="6" t="s">
        <v>1196</v>
      </c>
      <c r="H459" s="6" t="s">
        <v>1112</v>
      </c>
      <c r="I459" s="6" t="s">
        <v>45</v>
      </c>
      <c r="J459" s="6" t="s">
        <v>1608</v>
      </c>
      <c r="L459" s="6" t="s">
        <v>71</v>
      </c>
      <c r="M459" s="7">
        <v>5709.0</v>
      </c>
      <c r="N459" s="7">
        <v>2722.0</v>
      </c>
      <c r="O459" s="7">
        <v>3455.0</v>
      </c>
      <c r="P459" s="11"/>
    </row>
    <row r="460" ht="14.25" customHeight="1">
      <c r="A460" s="4" t="s">
        <v>1609</v>
      </c>
      <c r="B460" s="4" t="s">
        <v>1610</v>
      </c>
      <c r="C460" s="4" t="s">
        <v>1609</v>
      </c>
      <c r="D460" s="5">
        <v>740180.0</v>
      </c>
      <c r="E460" s="4" t="s">
        <v>18</v>
      </c>
      <c r="H460" s="4" t="s">
        <v>984</v>
      </c>
      <c r="I460" s="6" t="s">
        <v>768</v>
      </c>
      <c r="L460" s="4" t="s">
        <v>24</v>
      </c>
      <c r="M460" s="7">
        <v>3143.0</v>
      </c>
      <c r="N460" s="7">
        <v>3311.0</v>
      </c>
      <c r="O460" s="7">
        <v>739.0</v>
      </c>
      <c r="P460" s="8"/>
    </row>
    <row r="461" ht="14.25" customHeight="1">
      <c r="A461" s="4" t="s">
        <v>1611</v>
      </c>
      <c r="B461" s="4" t="s">
        <v>1612</v>
      </c>
      <c r="C461" s="4" t="s">
        <v>1611</v>
      </c>
      <c r="D461" s="5">
        <v>854537.0</v>
      </c>
      <c r="E461" s="4" t="s">
        <v>18</v>
      </c>
      <c r="H461" s="4" t="s">
        <v>1270</v>
      </c>
      <c r="I461" s="6" t="s">
        <v>1271</v>
      </c>
      <c r="L461" s="4" t="s">
        <v>24</v>
      </c>
      <c r="M461" s="7">
        <v>4037.0</v>
      </c>
      <c r="N461" s="7">
        <v>783670.0</v>
      </c>
      <c r="O461" s="7">
        <v>772.0</v>
      </c>
      <c r="P461" s="9" t="s">
        <v>40</v>
      </c>
    </row>
    <row r="462" ht="14.25" customHeight="1">
      <c r="A462" s="4" t="s">
        <v>1613</v>
      </c>
      <c r="B462" s="4" t="s">
        <v>1614</v>
      </c>
      <c r="C462" s="4" t="s">
        <v>1613</v>
      </c>
      <c r="D462" s="5">
        <v>740722.0</v>
      </c>
      <c r="E462" s="4" t="s">
        <v>27</v>
      </c>
      <c r="F462" s="4" t="s">
        <v>623</v>
      </c>
      <c r="G462" s="4" t="s">
        <v>447</v>
      </c>
      <c r="L462" s="4" t="s">
        <v>34</v>
      </c>
      <c r="M462" s="7">
        <v>71.0</v>
      </c>
      <c r="N462" s="7">
        <v>93.0</v>
      </c>
      <c r="O462" s="7">
        <v>52.0</v>
      </c>
      <c r="P462" s="8"/>
    </row>
    <row r="463" ht="14.25" customHeight="1">
      <c r="A463" s="6" t="s">
        <v>1615</v>
      </c>
      <c r="B463" s="6" t="s">
        <v>1616</v>
      </c>
      <c r="C463" s="6" t="s">
        <v>1615</v>
      </c>
      <c r="D463" s="10">
        <v>15692.0</v>
      </c>
      <c r="E463" s="6" t="s">
        <v>18</v>
      </c>
      <c r="F463" s="6" t="s">
        <v>631</v>
      </c>
      <c r="G463" s="6" t="s">
        <v>793</v>
      </c>
      <c r="H463" s="6" t="s">
        <v>595</v>
      </c>
      <c r="I463" s="6" t="s">
        <v>113</v>
      </c>
      <c r="J463" s="18" t="s">
        <v>1617</v>
      </c>
      <c r="K463" s="6" t="s">
        <v>1618</v>
      </c>
      <c r="L463" s="6" t="s">
        <v>1619</v>
      </c>
      <c r="M463" s="7">
        <v>68.0</v>
      </c>
      <c r="N463" s="7">
        <v>160.0</v>
      </c>
      <c r="O463" s="7">
        <v>41.0</v>
      </c>
      <c r="P463" s="8"/>
    </row>
    <row r="464" ht="14.25" customHeight="1">
      <c r="A464" s="4" t="s">
        <v>1620</v>
      </c>
      <c r="B464" s="4" t="s">
        <v>1621</v>
      </c>
      <c r="C464" s="4" t="s">
        <v>1620</v>
      </c>
      <c r="D464" s="5">
        <v>518443.0</v>
      </c>
      <c r="E464" s="4" t="s">
        <v>18</v>
      </c>
      <c r="F464" s="6" t="s">
        <v>1622</v>
      </c>
      <c r="G464" s="6" t="s">
        <v>1623</v>
      </c>
      <c r="H464" s="6" t="s">
        <v>1624</v>
      </c>
      <c r="I464" s="6" t="s">
        <v>1625</v>
      </c>
      <c r="L464" s="6" t="s">
        <v>1626</v>
      </c>
      <c r="M464" s="7">
        <v>928.0</v>
      </c>
      <c r="N464" s="7">
        <v>1488.0</v>
      </c>
      <c r="O464" s="7">
        <v>487.0</v>
      </c>
      <c r="P464" s="8"/>
    </row>
    <row r="465" ht="14.25" customHeight="1">
      <c r="A465" s="6" t="s">
        <v>1627</v>
      </c>
      <c r="B465" s="6" t="s">
        <v>1628</v>
      </c>
      <c r="C465" s="6" t="s">
        <v>1627</v>
      </c>
      <c r="D465" s="10">
        <v>887173.0</v>
      </c>
      <c r="E465" s="6" t="s">
        <v>18</v>
      </c>
      <c r="F465" s="6" t="s">
        <v>1629</v>
      </c>
      <c r="G465" s="6" t="s">
        <v>1630</v>
      </c>
      <c r="H465" s="6" t="s">
        <v>213</v>
      </c>
      <c r="I465" s="6" t="s">
        <v>214</v>
      </c>
      <c r="L465" s="6" t="s">
        <v>71</v>
      </c>
      <c r="M465" s="7">
        <v>4401.0</v>
      </c>
      <c r="N465" s="7">
        <v>3578.0</v>
      </c>
      <c r="O465" s="7">
        <v>1998.0</v>
      </c>
      <c r="P465" s="8"/>
    </row>
    <row r="466" ht="14.25" customHeight="1">
      <c r="A466" s="4" t="s">
        <v>1631</v>
      </c>
      <c r="B466" s="4" t="s">
        <v>1632</v>
      </c>
      <c r="C466" s="4" t="s">
        <v>1633</v>
      </c>
      <c r="D466" s="5">
        <v>3732111.0</v>
      </c>
      <c r="E466" s="4" t="s">
        <v>27</v>
      </c>
      <c r="F466" s="4" t="s">
        <v>623</v>
      </c>
      <c r="G466" s="4" t="s">
        <v>1634</v>
      </c>
      <c r="L466" s="4" t="s">
        <v>34</v>
      </c>
      <c r="M466" s="7">
        <v>1.0</v>
      </c>
      <c r="N466" s="7">
        <v>0.0</v>
      </c>
      <c r="O466" s="7">
        <v>1.0</v>
      </c>
      <c r="P466" s="8"/>
    </row>
    <row r="467" ht="14.25" customHeight="1">
      <c r="A467" s="4" t="s">
        <v>1635</v>
      </c>
      <c r="B467" s="4" t="s">
        <v>1636</v>
      </c>
      <c r="C467" s="4" t="s">
        <v>1637</v>
      </c>
      <c r="D467" s="5">
        <v>55406.0</v>
      </c>
      <c r="E467" s="4" t="s">
        <v>27</v>
      </c>
      <c r="F467" s="4" t="s">
        <v>237</v>
      </c>
      <c r="G467" s="6" t="s">
        <v>1638</v>
      </c>
      <c r="L467" s="4" t="s">
        <v>34</v>
      </c>
      <c r="M467" s="7">
        <v>13.0</v>
      </c>
      <c r="N467" s="7">
        <v>1.0</v>
      </c>
      <c r="O467" s="7">
        <v>14.0</v>
      </c>
      <c r="P467" s="8"/>
    </row>
    <row r="468" ht="14.25" customHeight="1">
      <c r="A468" s="4" t="s">
        <v>1639</v>
      </c>
      <c r="B468" s="4" t="s">
        <v>1640</v>
      </c>
      <c r="D468" s="5">
        <v>707757.0</v>
      </c>
      <c r="E468" s="4" t="s">
        <v>18</v>
      </c>
      <c r="H468" s="4" t="s">
        <v>70</v>
      </c>
      <c r="I468" s="6" t="s">
        <v>38</v>
      </c>
      <c r="L468" s="4" t="s">
        <v>39</v>
      </c>
      <c r="M468" s="7">
        <v>4371.0</v>
      </c>
      <c r="N468" s="7">
        <v>2727.0</v>
      </c>
      <c r="O468" s="7">
        <v>1476.0</v>
      </c>
      <c r="P468" s="9" t="s">
        <v>40</v>
      </c>
    </row>
    <row r="469" ht="14.25" customHeight="1">
      <c r="A469" s="4" t="s">
        <v>1641</v>
      </c>
      <c r="B469" s="4" t="s">
        <v>1642</v>
      </c>
      <c r="C469" s="4" t="s">
        <v>1641</v>
      </c>
      <c r="D469" s="5">
        <v>5972862.0</v>
      </c>
      <c r="E469" s="4" t="s">
        <v>27</v>
      </c>
      <c r="F469" s="4" t="s">
        <v>179</v>
      </c>
      <c r="G469" s="4" t="s">
        <v>1643</v>
      </c>
      <c r="L469" s="4" t="s">
        <v>34</v>
      </c>
      <c r="M469" s="7">
        <v>0.0</v>
      </c>
      <c r="N469" s="7">
        <v>0.0</v>
      </c>
      <c r="O469" s="7">
        <v>0.0</v>
      </c>
      <c r="P469" s="8"/>
    </row>
    <row r="470" ht="14.25" customHeight="1">
      <c r="A470" s="4" t="s">
        <v>1644</v>
      </c>
      <c r="B470" s="4" t="s">
        <v>1645</v>
      </c>
      <c r="C470" s="4" t="s">
        <v>1646</v>
      </c>
      <c r="D470" s="5">
        <v>111485.0</v>
      </c>
      <c r="E470" s="4" t="s">
        <v>27</v>
      </c>
      <c r="F470" s="4" t="s">
        <v>32</v>
      </c>
      <c r="G470" s="4" t="s">
        <v>1647</v>
      </c>
      <c r="H470" s="4" t="s">
        <v>1648</v>
      </c>
      <c r="I470" s="6" t="s">
        <v>264</v>
      </c>
      <c r="L470" s="4" t="s">
        <v>34</v>
      </c>
      <c r="M470" s="7">
        <v>178457.0</v>
      </c>
      <c r="N470" s="7">
        <v>56102.0</v>
      </c>
      <c r="O470" s="7">
        <v>6941.0</v>
      </c>
      <c r="P470" s="9" t="s">
        <v>40</v>
      </c>
    </row>
    <row r="471" ht="14.25" customHeight="1">
      <c r="A471" s="4" t="s">
        <v>1649</v>
      </c>
      <c r="B471" s="4" t="s">
        <v>1650</v>
      </c>
      <c r="C471" s="4" t="s">
        <v>1649</v>
      </c>
      <c r="D471" s="5">
        <v>4512891.0</v>
      </c>
      <c r="E471" s="4" t="s">
        <v>27</v>
      </c>
      <c r="F471" s="4" t="s">
        <v>189</v>
      </c>
      <c r="G471" s="4" t="s">
        <v>1651</v>
      </c>
      <c r="L471" s="4" t="s">
        <v>34</v>
      </c>
      <c r="M471" s="7">
        <v>127.0</v>
      </c>
      <c r="N471" s="7">
        <v>1.0</v>
      </c>
      <c r="O471" s="7">
        <v>101.0</v>
      </c>
      <c r="P471" s="8"/>
    </row>
    <row r="472" ht="14.25" customHeight="1">
      <c r="A472" s="4" t="s">
        <v>1652</v>
      </c>
      <c r="B472" s="4" t="s">
        <v>1653</v>
      </c>
      <c r="D472" s="5">
        <v>4981544.0</v>
      </c>
      <c r="E472" s="4" t="s">
        <v>18</v>
      </c>
      <c r="H472" s="4" t="s">
        <v>435</v>
      </c>
      <c r="I472" s="6" t="s">
        <v>436</v>
      </c>
      <c r="L472" s="4" t="s">
        <v>24</v>
      </c>
      <c r="M472" s="7">
        <v>1122.0</v>
      </c>
      <c r="N472" s="7">
        <v>8756.0</v>
      </c>
      <c r="O472" s="7">
        <v>665.0</v>
      </c>
      <c r="P472" s="8"/>
    </row>
    <row r="473" ht="14.25" customHeight="1">
      <c r="A473" s="4" t="s">
        <v>1654</v>
      </c>
      <c r="B473" s="4" t="s">
        <v>1655</v>
      </c>
      <c r="D473" s="5">
        <v>206700.0</v>
      </c>
      <c r="E473" s="4" t="s">
        <v>27</v>
      </c>
      <c r="F473" s="4" t="s">
        <v>559</v>
      </c>
      <c r="G473" s="4" t="s">
        <v>1656</v>
      </c>
      <c r="L473" s="4" t="s">
        <v>34</v>
      </c>
      <c r="M473" s="7">
        <v>102.0</v>
      </c>
      <c r="N473" s="7">
        <v>580.0</v>
      </c>
      <c r="O473" s="7">
        <v>44.0</v>
      </c>
      <c r="P473" s="8"/>
    </row>
    <row r="474" ht="14.25" customHeight="1">
      <c r="A474" s="4" t="s">
        <v>1657</v>
      </c>
      <c r="B474" s="4" t="s">
        <v>1658</v>
      </c>
      <c r="C474" s="4" t="s">
        <v>1657</v>
      </c>
      <c r="D474" s="5">
        <v>396221.0</v>
      </c>
      <c r="E474" s="4" t="s">
        <v>27</v>
      </c>
      <c r="F474" s="4" t="s">
        <v>500</v>
      </c>
      <c r="G474" s="4" t="s">
        <v>1659</v>
      </c>
      <c r="L474" s="4" t="s">
        <v>34</v>
      </c>
      <c r="M474" s="7">
        <v>49.0</v>
      </c>
      <c r="N474" s="7">
        <v>2.0</v>
      </c>
      <c r="O474" s="7">
        <v>47.0</v>
      </c>
      <c r="P474" s="8"/>
    </row>
    <row r="475" ht="14.25" customHeight="1">
      <c r="A475" s="4" t="s">
        <v>1660</v>
      </c>
      <c r="B475" s="4" t="s">
        <v>1661</v>
      </c>
      <c r="C475" s="4" t="s">
        <v>1660</v>
      </c>
      <c r="D475" s="5">
        <v>510278.0</v>
      </c>
      <c r="E475" s="4" t="s">
        <v>27</v>
      </c>
      <c r="F475" s="4" t="s">
        <v>392</v>
      </c>
      <c r="G475" s="4" t="s">
        <v>1662</v>
      </c>
      <c r="L475" s="4" t="s">
        <v>34</v>
      </c>
      <c r="M475" s="7">
        <v>1.0</v>
      </c>
      <c r="N475" s="7">
        <v>0.0</v>
      </c>
      <c r="O475" s="7">
        <v>1.0</v>
      </c>
      <c r="P475" s="8"/>
    </row>
    <row r="476" ht="14.25" customHeight="1">
      <c r="A476" s="4" t="s">
        <v>1663</v>
      </c>
      <c r="B476" s="4" t="s">
        <v>1664</v>
      </c>
      <c r="C476" s="4" t="s">
        <v>1663</v>
      </c>
      <c r="D476" s="5">
        <v>2808185.0</v>
      </c>
      <c r="E476" s="4" t="s">
        <v>27</v>
      </c>
      <c r="F476" s="4" t="s">
        <v>75</v>
      </c>
      <c r="G476" s="4" t="s">
        <v>343</v>
      </c>
      <c r="L476" s="4" t="s">
        <v>34</v>
      </c>
      <c r="M476" s="7">
        <v>211.0</v>
      </c>
      <c r="N476" s="7">
        <v>0.0</v>
      </c>
      <c r="O476" s="7">
        <v>161.0</v>
      </c>
      <c r="P476" s="8"/>
    </row>
    <row r="477" ht="14.25" customHeight="1">
      <c r="A477" s="4" t="s">
        <v>1665</v>
      </c>
      <c r="B477" s="4" t="s">
        <v>1666</v>
      </c>
      <c r="C477" s="4" t="s">
        <v>1665</v>
      </c>
      <c r="D477" s="5">
        <v>2386516.0</v>
      </c>
      <c r="E477" s="4" t="s">
        <v>18</v>
      </c>
      <c r="H477" s="4" t="s">
        <v>1667</v>
      </c>
      <c r="I477" s="6" t="s">
        <v>1668</v>
      </c>
      <c r="L477" s="4" t="s">
        <v>24</v>
      </c>
      <c r="M477" s="7">
        <v>1663.0</v>
      </c>
      <c r="N477" s="7">
        <v>739.0</v>
      </c>
      <c r="O477" s="7">
        <v>922.0</v>
      </c>
      <c r="P477" s="9" t="s">
        <v>40</v>
      </c>
    </row>
    <row r="478" ht="14.25" customHeight="1">
      <c r="A478" s="6" t="s">
        <v>1669</v>
      </c>
      <c r="B478" s="6" t="s">
        <v>1670</v>
      </c>
      <c r="C478" s="6" t="s">
        <v>1669</v>
      </c>
      <c r="D478" s="10">
        <v>213964.0</v>
      </c>
      <c r="E478" s="6" t="s">
        <v>27</v>
      </c>
      <c r="F478" s="6" t="s">
        <v>308</v>
      </c>
      <c r="G478" s="6" t="s">
        <v>1671</v>
      </c>
      <c r="H478" s="6" t="s">
        <v>1672</v>
      </c>
      <c r="I478" s="6" t="s">
        <v>63</v>
      </c>
      <c r="L478" s="6" t="s">
        <v>71</v>
      </c>
      <c r="M478" s="7">
        <v>1.0</v>
      </c>
      <c r="N478" s="7">
        <v>0.0</v>
      </c>
      <c r="O478" s="7">
        <v>1.0</v>
      </c>
      <c r="P478" s="8"/>
    </row>
    <row r="479" ht="14.25" customHeight="1">
      <c r="A479" s="4" t="s">
        <v>1673</v>
      </c>
      <c r="B479" s="4" t="s">
        <v>1674</v>
      </c>
      <c r="C479" s="4" t="s">
        <v>1673</v>
      </c>
      <c r="D479" s="5">
        <v>167819.0</v>
      </c>
      <c r="E479" s="4" t="s">
        <v>18</v>
      </c>
      <c r="H479" s="4" t="s">
        <v>70</v>
      </c>
      <c r="I479" s="6" t="s">
        <v>38</v>
      </c>
      <c r="L479" s="4" t="s">
        <v>39</v>
      </c>
      <c r="M479" s="7">
        <v>585.0</v>
      </c>
      <c r="N479" s="7">
        <v>278.0</v>
      </c>
      <c r="O479" s="7">
        <v>432.0</v>
      </c>
      <c r="P479" s="8"/>
    </row>
    <row r="480" ht="14.25" customHeight="1">
      <c r="A480" s="4" t="s">
        <v>1675</v>
      </c>
      <c r="B480" s="4" t="s">
        <v>1676</v>
      </c>
      <c r="D480" s="5">
        <v>3636442.0</v>
      </c>
      <c r="E480" s="4" t="s">
        <v>18</v>
      </c>
      <c r="G480" s="4" t="s">
        <v>1677</v>
      </c>
      <c r="H480" s="4" t="s">
        <v>70</v>
      </c>
      <c r="I480" s="6" t="s">
        <v>38</v>
      </c>
      <c r="L480" s="4" t="s">
        <v>24</v>
      </c>
      <c r="M480" s="7">
        <v>288.0</v>
      </c>
      <c r="N480" s="7">
        <v>142.0</v>
      </c>
      <c r="O480" s="7">
        <v>243.0</v>
      </c>
      <c r="P480" s="8"/>
    </row>
    <row r="481" ht="14.25" customHeight="1">
      <c r="A481" s="4" t="s">
        <v>1678</v>
      </c>
      <c r="B481" s="4" t="s">
        <v>1679</v>
      </c>
      <c r="C481" s="4" t="s">
        <v>1680</v>
      </c>
      <c r="D481" s="5">
        <v>5967.0</v>
      </c>
      <c r="E481" s="4" t="s">
        <v>27</v>
      </c>
      <c r="F481" s="4" t="s">
        <v>32</v>
      </c>
      <c r="G481" s="4" t="s">
        <v>1681</v>
      </c>
      <c r="L481" s="4" t="s">
        <v>34</v>
      </c>
      <c r="M481" s="7">
        <v>18252.0</v>
      </c>
      <c r="N481" s="7">
        <v>33586.0</v>
      </c>
      <c r="O481" s="7">
        <v>3541.0</v>
      </c>
      <c r="P481" s="9" t="s">
        <v>40</v>
      </c>
    </row>
    <row r="482" ht="14.25" customHeight="1">
      <c r="A482" s="4" t="s">
        <v>1682</v>
      </c>
      <c r="B482" s="4" t="s">
        <v>1683</v>
      </c>
      <c r="C482" s="4" t="s">
        <v>1682</v>
      </c>
      <c r="D482" s="5">
        <v>3362499.0</v>
      </c>
      <c r="E482" s="4" t="s">
        <v>27</v>
      </c>
      <c r="F482" s="4" t="s">
        <v>1536</v>
      </c>
      <c r="G482" s="4" t="s">
        <v>1684</v>
      </c>
      <c r="L482" s="4" t="s">
        <v>34</v>
      </c>
      <c r="M482" s="7">
        <v>115.0</v>
      </c>
      <c r="N482" s="7">
        <v>0.0</v>
      </c>
      <c r="O482" s="7">
        <v>47.0</v>
      </c>
      <c r="P482" s="8"/>
    </row>
    <row r="483" ht="14.25" customHeight="1">
      <c r="A483" s="6" t="s">
        <v>1685</v>
      </c>
      <c r="B483" s="6" t="s">
        <v>1686</v>
      </c>
      <c r="C483" s="6" t="s">
        <v>1685</v>
      </c>
      <c r="D483" s="10">
        <v>400093.0</v>
      </c>
      <c r="E483" s="6" t="s">
        <v>18</v>
      </c>
      <c r="H483" s="6" t="s">
        <v>141</v>
      </c>
      <c r="I483" s="6" t="s">
        <v>142</v>
      </c>
      <c r="J483" s="6" t="s">
        <v>1687</v>
      </c>
      <c r="L483" s="6" t="s">
        <v>71</v>
      </c>
      <c r="M483" s="7">
        <v>4056.0</v>
      </c>
      <c r="N483" s="7">
        <v>5222.0</v>
      </c>
      <c r="O483" s="7">
        <v>1399.0</v>
      </c>
      <c r="P483" s="8"/>
    </row>
    <row r="484" ht="14.25" customHeight="1">
      <c r="A484" s="4" t="s">
        <v>1688</v>
      </c>
      <c r="B484" s="4" t="s">
        <v>1689</v>
      </c>
      <c r="C484" s="4" t="s">
        <v>1688</v>
      </c>
      <c r="D484" s="5">
        <v>560529.0</v>
      </c>
      <c r="E484" s="4" t="s">
        <v>18</v>
      </c>
      <c r="H484" s="4" t="s">
        <v>1690</v>
      </c>
      <c r="I484" s="6" t="s">
        <v>63</v>
      </c>
      <c r="L484" s="4" t="s">
        <v>65</v>
      </c>
      <c r="M484" s="7">
        <v>327.0</v>
      </c>
      <c r="N484" s="7">
        <v>24847.0</v>
      </c>
      <c r="O484" s="7">
        <v>260.0</v>
      </c>
      <c r="P484" s="9" t="s">
        <v>40</v>
      </c>
    </row>
    <row r="485" ht="14.25" customHeight="1">
      <c r="A485" s="6" t="s">
        <v>1691</v>
      </c>
      <c r="B485" s="6" t="s">
        <v>1692</v>
      </c>
      <c r="C485" s="6" t="s">
        <v>1691</v>
      </c>
      <c r="D485" s="10">
        <v>442526.0</v>
      </c>
      <c r="E485" s="6" t="s">
        <v>18</v>
      </c>
      <c r="F485" s="6" t="s">
        <v>1693</v>
      </c>
      <c r="H485" s="6" t="s">
        <v>1694</v>
      </c>
      <c r="I485" s="6" t="s">
        <v>38</v>
      </c>
      <c r="L485" s="6" t="s">
        <v>71</v>
      </c>
      <c r="M485" s="7">
        <v>2632.0</v>
      </c>
      <c r="N485" s="7">
        <v>56639.0</v>
      </c>
      <c r="O485" s="7">
        <v>1693.0</v>
      </c>
      <c r="P485" s="9" t="s">
        <v>40</v>
      </c>
    </row>
    <row r="486" ht="14.25" customHeight="1">
      <c r="A486" s="6" t="s">
        <v>1695</v>
      </c>
      <c r="B486" s="6" t="s">
        <v>1696</v>
      </c>
      <c r="C486" s="6" t="s">
        <v>1695</v>
      </c>
      <c r="D486" s="10">
        <v>13518.0</v>
      </c>
      <c r="E486" s="6" t="s">
        <v>43</v>
      </c>
      <c r="G486" s="6" t="s">
        <v>1697</v>
      </c>
      <c r="H486" s="6" t="s">
        <v>70</v>
      </c>
      <c r="I486" s="6" t="s">
        <v>38</v>
      </c>
      <c r="J486" s="6" t="s">
        <v>1698</v>
      </c>
      <c r="L486" s="6" t="s">
        <v>71</v>
      </c>
      <c r="M486" s="7">
        <v>10456.0</v>
      </c>
      <c r="N486" s="7">
        <v>10222.0</v>
      </c>
      <c r="O486" s="7">
        <v>3118.0</v>
      </c>
      <c r="P486" s="8"/>
    </row>
    <row r="487" ht="14.25" customHeight="1">
      <c r="A487" s="4" t="s">
        <v>1699</v>
      </c>
      <c r="B487" s="4" t="s">
        <v>1700</v>
      </c>
      <c r="C487" s="4" t="s">
        <v>1699</v>
      </c>
      <c r="D487" s="5">
        <v>982761.0</v>
      </c>
      <c r="E487" s="4" t="s">
        <v>27</v>
      </c>
      <c r="F487" s="4" t="s">
        <v>675</v>
      </c>
      <c r="G487" s="4" t="s">
        <v>1701</v>
      </c>
      <c r="L487" s="4" t="s">
        <v>34</v>
      </c>
      <c r="M487" s="7">
        <v>16.0</v>
      </c>
      <c r="N487" s="7">
        <v>0.0</v>
      </c>
      <c r="O487" s="7">
        <v>5.0</v>
      </c>
      <c r="P487" s="8"/>
    </row>
    <row r="488" ht="14.25" customHeight="1">
      <c r="A488" s="4" t="s">
        <v>1702</v>
      </c>
      <c r="B488" s="4" t="s">
        <v>1703</v>
      </c>
      <c r="C488" s="4" t="s">
        <v>1704</v>
      </c>
      <c r="D488" s="5">
        <v>15459.0</v>
      </c>
      <c r="E488" s="4" t="s">
        <v>27</v>
      </c>
      <c r="F488" s="4" t="s">
        <v>420</v>
      </c>
      <c r="G488" s="4" t="s">
        <v>388</v>
      </c>
      <c r="L488" s="4" t="s">
        <v>34</v>
      </c>
      <c r="M488" s="7">
        <v>2.0</v>
      </c>
      <c r="N488" s="7">
        <v>0.0</v>
      </c>
      <c r="O488" s="7">
        <v>1.0</v>
      </c>
      <c r="P488" s="8"/>
    </row>
    <row r="489" ht="14.25" customHeight="1">
      <c r="A489" s="6" t="s">
        <v>1705</v>
      </c>
      <c r="B489" s="6" t="s">
        <v>1706</v>
      </c>
      <c r="C489" s="6" t="s">
        <v>1705</v>
      </c>
      <c r="D489" s="10">
        <v>1921771.0</v>
      </c>
      <c r="E489" s="6" t="s">
        <v>18</v>
      </c>
      <c r="F489" s="6" t="s">
        <v>1707</v>
      </c>
      <c r="G489" s="6" t="s">
        <v>1708</v>
      </c>
      <c r="H489" s="6" t="s">
        <v>1709</v>
      </c>
      <c r="I489" s="6" t="s">
        <v>1710</v>
      </c>
      <c r="L489" s="6" t="s">
        <v>1711</v>
      </c>
      <c r="M489" s="12">
        <v>459.0</v>
      </c>
      <c r="N489" s="12">
        <v>40.0</v>
      </c>
      <c r="O489" s="12">
        <v>347.0</v>
      </c>
      <c r="P489" s="8"/>
    </row>
    <row r="490" ht="14.25" customHeight="1">
      <c r="A490" s="4" t="s">
        <v>1712</v>
      </c>
      <c r="B490" s="4" t="s">
        <v>1713</v>
      </c>
      <c r="D490" s="5">
        <v>2026435.0</v>
      </c>
      <c r="E490" s="4" t="s">
        <v>18</v>
      </c>
      <c r="H490" s="4" t="s">
        <v>1714</v>
      </c>
      <c r="I490" s="6" t="s">
        <v>1715</v>
      </c>
      <c r="L490" s="4" t="s">
        <v>39</v>
      </c>
      <c r="M490" s="7">
        <v>422.0</v>
      </c>
      <c r="N490" s="7">
        <v>7.0</v>
      </c>
      <c r="O490" s="7">
        <v>192.0</v>
      </c>
      <c r="P490" s="8"/>
    </row>
    <row r="491" ht="14.25" customHeight="1">
      <c r="A491" s="4" t="s">
        <v>1716</v>
      </c>
      <c r="B491" s="4" t="s">
        <v>1717</v>
      </c>
      <c r="C491" s="4" t="s">
        <v>1716</v>
      </c>
      <c r="D491" s="5">
        <v>1349930.0</v>
      </c>
      <c r="E491" s="4" t="s">
        <v>27</v>
      </c>
      <c r="F491" s="4" t="s">
        <v>1718</v>
      </c>
      <c r="G491" s="4" t="s">
        <v>616</v>
      </c>
      <c r="L491" s="4" t="s">
        <v>34</v>
      </c>
      <c r="M491" s="7">
        <v>3.0</v>
      </c>
      <c r="N491" s="7">
        <v>10.0</v>
      </c>
      <c r="O491" s="7">
        <v>0.0</v>
      </c>
      <c r="P491" s="8"/>
    </row>
    <row r="492" ht="14.25" customHeight="1">
      <c r="A492" s="4" t="s">
        <v>1719</v>
      </c>
      <c r="B492" s="4" t="s">
        <v>1720</v>
      </c>
      <c r="C492" s="4" t="s">
        <v>1719</v>
      </c>
      <c r="D492" s="5">
        <v>22389.0</v>
      </c>
      <c r="E492" s="4" t="s">
        <v>18</v>
      </c>
      <c r="F492" s="4" t="s">
        <v>1721</v>
      </c>
      <c r="G492" s="4" t="s">
        <v>808</v>
      </c>
      <c r="H492" s="4" t="s">
        <v>1722</v>
      </c>
      <c r="I492" s="6" t="s">
        <v>397</v>
      </c>
      <c r="L492" s="4" t="s">
        <v>39</v>
      </c>
      <c r="M492" s="7">
        <v>3.0</v>
      </c>
      <c r="N492" s="7">
        <v>31185.0</v>
      </c>
      <c r="O492" s="7">
        <v>3.0</v>
      </c>
      <c r="P492" s="8"/>
    </row>
    <row r="493" ht="14.25" customHeight="1">
      <c r="A493" s="4" t="s">
        <v>1723</v>
      </c>
      <c r="B493" s="4" t="s">
        <v>1724</v>
      </c>
      <c r="C493" s="4" t="s">
        <v>1723</v>
      </c>
      <c r="D493" s="5">
        <v>15014.0</v>
      </c>
      <c r="E493" s="4" t="s">
        <v>27</v>
      </c>
      <c r="F493" s="4" t="s">
        <v>123</v>
      </c>
      <c r="G493" s="4" t="s">
        <v>1725</v>
      </c>
      <c r="L493" s="4" t="s">
        <v>34</v>
      </c>
      <c r="M493" s="7">
        <v>1624.0</v>
      </c>
      <c r="N493" s="7">
        <v>1884.0</v>
      </c>
      <c r="O493" s="7">
        <v>988.0</v>
      </c>
      <c r="P493" s="8"/>
    </row>
    <row r="494" ht="14.25" customHeight="1">
      <c r="A494" s="4" t="s">
        <v>1726</v>
      </c>
      <c r="B494" s="4" t="s">
        <v>1727</v>
      </c>
      <c r="C494" s="4" t="s">
        <v>1726</v>
      </c>
      <c r="D494" s="5">
        <v>266047.0</v>
      </c>
      <c r="E494" s="4" t="s">
        <v>18</v>
      </c>
      <c r="H494" s="4" t="s">
        <v>1728</v>
      </c>
      <c r="I494" s="6" t="s">
        <v>147</v>
      </c>
      <c r="L494" s="4" t="s">
        <v>24</v>
      </c>
      <c r="M494" s="7">
        <v>8485.0</v>
      </c>
      <c r="N494" s="7">
        <v>66228.0</v>
      </c>
      <c r="O494" s="7">
        <v>2834.0</v>
      </c>
      <c r="P494" s="9" t="s">
        <v>40</v>
      </c>
    </row>
    <row r="495" ht="14.25" customHeight="1">
      <c r="A495" s="4" t="s">
        <v>1729</v>
      </c>
      <c r="B495" s="4" t="s">
        <v>1730</v>
      </c>
      <c r="D495" s="5">
        <v>16575.0</v>
      </c>
      <c r="E495" s="4" t="s">
        <v>18</v>
      </c>
      <c r="F495" s="4" t="s">
        <v>1731</v>
      </c>
      <c r="G495" s="4" t="s">
        <v>1732</v>
      </c>
      <c r="H495" s="4" t="s">
        <v>146</v>
      </c>
      <c r="I495" s="6" t="s">
        <v>147</v>
      </c>
      <c r="L495" s="4" t="s">
        <v>378</v>
      </c>
      <c r="M495" s="7">
        <v>3462.0</v>
      </c>
      <c r="N495" s="7">
        <v>36929.0</v>
      </c>
      <c r="O495" s="7">
        <v>1484.0</v>
      </c>
      <c r="P495" s="8"/>
    </row>
    <row r="496" ht="14.25" customHeight="1">
      <c r="A496" s="4" t="s">
        <v>1733</v>
      </c>
      <c r="B496" s="4" t="s">
        <v>1734</v>
      </c>
      <c r="C496" s="4" t="s">
        <v>1733</v>
      </c>
      <c r="D496" s="5">
        <v>1439513.0</v>
      </c>
      <c r="E496" s="4" t="s">
        <v>18</v>
      </c>
      <c r="H496" s="4" t="s">
        <v>1735</v>
      </c>
      <c r="I496" s="6" t="s">
        <v>703</v>
      </c>
      <c r="L496" s="4" t="s">
        <v>143</v>
      </c>
      <c r="M496" s="7">
        <v>1164.0</v>
      </c>
      <c r="N496" s="7">
        <v>341674.0</v>
      </c>
      <c r="O496" s="7">
        <v>740.0</v>
      </c>
      <c r="P496" s="9" t="s">
        <v>40</v>
      </c>
    </row>
    <row r="497" ht="14.25" customHeight="1">
      <c r="A497" s="4" t="s">
        <v>1736</v>
      </c>
      <c r="B497" s="4" t="s">
        <v>1737</v>
      </c>
      <c r="C497" s="4" t="s">
        <v>1736</v>
      </c>
      <c r="D497" s="5">
        <v>1256341.0</v>
      </c>
      <c r="E497" s="4" t="s">
        <v>18</v>
      </c>
      <c r="H497" s="4" t="s">
        <v>984</v>
      </c>
      <c r="I497" s="6" t="s">
        <v>768</v>
      </c>
      <c r="L497" s="4" t="s">
        <v>24</v>
      </c>
      <c r="M497" s="7">
        <v>7.0</v>
      </c>
      <c r="N497" s="7">
        <v>483.0</v>
      </c>
      <c r="O497" s="7">
        <v>7.0</v>
      </c>
      <c r="P497" s="8"/>
    </row>
    <row r="498" ht="14.25" customHeight="1">
      <c r="A498" s="4" t="s">
        <v>1738</v>
      </c>
      <c r="B498" s="4" t="s">
        <v>1739</v>
      </c>
      <c r="D498" s="5">
        <v>516.0</v>
      </c>
      <c r="E498" s="4" t="s">
        <v>18</v>
      </c>
      <c r="H498" s="4" t="s">
        <v>1740</v>
      </c>
      <c r="I498" s="6" t="s">
        <v>203</v>
      </c>
      <c r="J498" s="4" t="s">
        <v>1741</v>
      </c>
      <c r="L498" s="4" t="s">
        <v>65</v>
      </c>
      <c r="M498" s="7">
        <v>1968.0</v>
      </c>
      <c r="N498" s="7">
        <v>25547.0</v>
      </c>
      <c r="O498" s="7">
        <v>1048.0</v>
      </c>
      <c r="P498" s="9" t="s">
        <v>40</v>
      </c>
    </row>
    <row r="499" ht="14.25" customHeight="1">
      <c r="A499" s="4" t="s">
        <v>1742</v>
      </c>
      <c r="B499" s="4" t="s">
        <v>1743</v>
      </c>
      <c r="C499" s="4" t="s">
        <v>1742</v>
      </c>
      <c r="D499" s="5">
        <v>1770576.0</v>
      </c>
      <c r="E499" s="4" t="s">
        <v>18</v>
      </c>
      <c r="H499" s="4" t="s">
        <v>1744</v>
      </c>
      <c r="I499" s="6" t="s">
        <v>1745</v>
      </c>
      <c r="L499" s="4" t="s">
        <v>39</v>
      </c>
      <c r="M499" s="7">
        <v>475.0</v>
      </c>
      <c r="N499" s="7">
        <v>336.0</v>
      </c>
      <c r="O499" s="7">
        <v>370.0</v>
      </c>
      <c r="P499" s="8"/>
    </row>
    <row r="500" ht="14.25" customHeight="1">
      <c r="A500" s="4" t="s">
        <v>1746</v>
      </c>
      <c r="B500" s="4" t="s">
        <v>1747</v>
      </c>
      <c r="C500" s="4" t="s">
        <v>1746</v>
      </c>
      <c r="D500" s="5">
        <v>6668632.0</v>
      </c>
      <c r="E500" s="4" t="s">
        <v>18</v>
      </c>
      <c r="H500" s="4" t="s">
        <v>979</v>
      </c>
      <c r="I500" s="6" t="s">
        <v>38</v>
      </c>
      <c r="L500" s="4" t="s">
        <v>39</v>
      </c>
      <c r="M500" s="7">
        <v>0.0</v>
      </c>
      <c r="N500" s="7">
        <v>0.0</v>
      </c>
      <c r="O500" s="7">
        <v>0.0</v>
      </c>
      <c r="P500" s="8"/>
    </row>
    <row r="501" ht="14.25" customHeight="1">
      <c r="A501" s="4" t="s">
        <v>1748</v>
      </c>
      <c r="B501" s="4" t="s">
        <v>1749</v>
      </c>
      <c r="D501" s="5">
        <v>629530.0</v>
      </c>
      <c r="E501" s="4" t="s">
        <v>18</v>
      </c>
      <c r="F501" s="4" t="s">
        <v>1750</v>
      </c>
      <c r="G501" s="4" t="s">
        <v>1751</v>
      </c>
      <c r="H501" s="4" t="s">
        <v>70</v>
      </c>
      <c r="I501" s="6" t="s">
        <v>38</v>
      </c>
      <c r="L501" s="4" t="s">
        <v>24</v>
      </c>
      <c r="M501" s="7">
        <v>398.0</v>
      </c>
      <c r="N501" s="7">
        <v>1202.0</v>
      </c>
      <c r="O501" s="7">
        <v>206.0</v>
      </c>
      <c r="P501" s="8"/>
    </row>
    <row r="502" ht="14.25" customHeight="1">
      <c r="A502" s="4" t="s">
        <v>1752</v>
      </c>
      <c r="B502" s="4" t="s">
        <v>1753</v>
      </c>
      <c r="C502" s="4" t="s">
        <v>1754</v>
      </c>
      <c r="D502" s="5">
        <v>6295161.0</v>
      </c>
      <c r="E502" s="4" t="s">
        <v>18</v>
      </c>
      <c r="F502" s="4" t="s">
        <v>1755</v>
      </c>
      <c r="G502" s="4" t="s">
        <v>1756</v>
      </c>
      <c r="H502" s="4" t="s">
        <v>70</v>
      </c>
      <c r="I502" s="6" t="s">
        <v>38</v>
      </c>
      <c r="L502" s="4" t="s">
        <v>24</v>
      </c>
      <c r="M502" s="7">
        <v>2.0</v>
      </c>
      <c r="N502" s="7">
        <v>113.0</v>
      </c>
      <c r="O502" s="7">
        <v>1.0</v>
      </c>
      <c r="P502" s="8"/>
    </row>
    <row r="503" ht="14.25" customHeight="1">
      <c r="A503" s="4" t="s">
        <v>1757</v>
      </c>
      <c r="B503" s="4" t="s">
        <v>1758</v>
      </c>
      <c r="C503" s="4" t="s">
        <v>1759</v>
      </c>
      <c r="D503" s="5">
        <v>1388891.0</v>
      </c>
      <c r="E503" s="4" t="s">
        <v>27</v>
      </c>
      <c r="F503" s="4" t="s">
        <v>462</v>
      </c>
      <c r="G503" s="4" t="s">
        <v>393</v>
      </c>
      <c r="H503" s="6" t="s">
        <v>1270</v>
      </c>
      <c r="I503" s="6" t="s">
        <v>1271</v>
      </c>
      <c r="L503" s="6" t="s">
        <v>71</v>
      </c>
      <c r="M503" s="7">
        <v>744.0</v>
      </c>
      <c r="N503" s="7">
        <v>36.0</v>
      </c>
      <c r="O503" s="7">
        <v>472.0</v>
      </c>
      <c r="P503" s="8"/>
    </row>
    <row r="504" ht="14.25" customHeight="1">
      <c r="A504" s="4" t="s">
        <v>1760</v>
      </c>
      <c r="B504" s="4" t="s">
        <v>1761</v>
      </c>
      <c r="C504" s="4" t="s">
        <v>1761</v>
      </c>
      <c r="D504" s="5">
        <v>239596.0</v>
      </c>
      <c r="E504" s="4" t="s">
        <v>18</v>
      </c>
      <c r="H504" s="4" t="s">
        <v>1762</v>
      </c>
      <c r="I504" s="6" t="s">
        <v>1357</v>
      </c>
      <c r="L504" s="4" t="s">
        <v>39</v>
      </c>
      <c r="M504" s="7">
        <v>8144.0</v>
      </c>
      <c r="N504" s="7">
        <v>85065.0</v>
      </c>
      <c r="O504" s="7">
        <v>1335.0</v>
      </c>
      <c r="P504" s="8"/>
    </row>
    <row r="505" ht="14.25" customHeight="1">
      <c r="A505" s="4" t="s">
        <v>1763</v>
      </c>
      <c r="B505" s="4" t="s">
        <v>1764</v>
      </c>
      <c r="C505" s="4" t="s">
        <v>1763</v>
      </c>
      <c r="D505" s="5">
        <v>541014.0</v>
      </c>
      <c r="E505" s="4" t="s">
        <v>18</v>
      </c>
      <c r="H505" s="4" t="s">
        <v>1765</v>
      </c>
      <c r="I505" s="6" t="s">
        <v>512</v>
      </c>
      <c r="L505" s="4" t="s">
        <v>65</v>
      </c>
      <c r="M505" s="7">
        <v>448.0</v>
      </c>
      <c r="N505" s="7">
        <v>219611.0</v>
      </c>
      <c r="O505" s="7">
        <v>255.0</v>
      </c>
      <c r="P505" s="9" t="s">
        <v>40</v>
      </c>
    </row>
    <row r="506" ht="14.25" customHeight="1">
      <c r="A506" s="4" t="s">
        <v>1766</v>
      </c>
      <c r="B506" s="4" t="s">
        <v>1767</v>
      </c>
      <c r="C506" s="4" t="s">
        <v>1766</v>
      </c>
      <c r="D506" s="5">
        <v>3919308.0</v>
      </c>
      <c r="E506" s="4" t="s">
        <v>18</v>
      </c>
      <c r="H506" s="4" t="s">
        <v>106</v>
      </c>
      <c r="I506" s="6" t="s">
        <v>107</v>
      </c>
      <c r="L506" s="4" t="s">
        <v>53</v>
      </c>
      <c r="M506" s="7">
        <v>3522.0</v>
      </c>
      <c r="N506" s="7">
        <v>1269.0</v>
      </c>
      <c r="O506" s="7">
        <v>1251.0</v>
      </c>
      <c r="P506" s="8"/>
    </row>
    <row r="507" ht="14.25" customHeight="1">
      <c r="A507" s="6" t="s">
        <v>1768</v>
      </c>
      <c r="B507" s="6" t="s">
        <v>1769</v>
      </c>
      <c r="C507" s="6" t="s">
        <v>1768</v>
      </c>
      <c r="D507" s="10">
        <v>93718.0</v>
      </c>
      <c r="E507" s="6" t="s">
        <v>18</v>
      </c>
      <c r="F507" s="6" t="s">
        <v>1770</v>
      </c>
      <c r="G507" s="6" t="s">
        <v>1771</v>
      </c>
      <c r="H507" s="6" t="s">
        <v>1772</v>
      </c>
      <c r="I507" s="6" t="s">
        <v>38</v>
      </c>
      <c r="L507" s="6" t="s">
        <v>1773</v>
      </c>
      <c r="M507" s="12">
        <v>935.0</v>
      </c>
      <c r="N507" s="12">
        <v>4070.0</v>
      </c>
      <c r="O507" s="12">
        <v>599.0</v>
      </c>
      <c r="P507" s="8"/>
    </row>
    <row r="508" ht="14.25" customHeight="1">
      <c r="A508" s="4" t="s">
        <v>1774</v>
      </c>
      <c r="B508" s="4" t="s">
        <v>1775</v>
      </c>
      <c r="C508" s="4" t="s">
        <v>1774</v>
      </c>
      <c r="D508" s="5">
        <v>74317.0</v>
      </c>
      <c r="E508" s="4" t="s">
        <v>27</v>
      </c>
      <c r="F508" s="4" t="s">
        <v>420</v>
      </c>
      <c r="G508" s="4" t="s">
        <v>1776</v>
      </c>
      <c r="L508" s="4" t="s">
        <v>34</v>
      </c>
      <c r="M508" s="7">
        <v>459.0</v>
      </c>
      <c r="N508" s="7">
        <v>1230.0</v>
      </c>
      <c r="O508" s="7">
        <v>276.0</v>
      </c>
      <c r="P508" s="8"/>
    </row>
    <row r="509" ht="14.25" customHeight="1">
      <c r="B509" s="4" t="s">
        <v>1777</v>
      </c>
      <c r="C509" s="4" t="s">
        <v>1777</v>
      </c>
      <c r="D509" s="5">
        <v>2457830.0</v>
      </c>
      <c r="E509" s="4" t="s">
        <v>18</v>
      </c>
      <c r="H509" s="4" t="s">
        <v>300</v>
      </c>
      <c r="I509" s="6" t="s">
        <v>301</v>
      </c>
      <c r="L509" s="4" t="s">
        <v>39</v>
      </c>
      <c r="M509" s="7">
        <v>333.0</v>
      </c>
      <c r="N509" s="7">
        <v>40033.0</v>
      </c>
      <c r="O509" s="7">
        <v>99.0</v>
      </c>
      <c r="P509" s="8"/>
    </row>
    <row r="510" ht="14.25" customHeight="1">
      <c r="A510" s="6" t="s">
        <v>1778</v>
      </c>
      <c r="B510" s="6" t="s">
        <v>1779</v>
      </c>
      <c r="C510" s="6" t="s">
        <v>1778</v>
      </c>
      <c r="D510" s="10">
        <v>220924.0</v>
      </c>
      <c r="E510" s="6" t="s">
        <v>18</v>
      </c>
      <c r="H510" s="6" t="s">
        <v>70</v>
      </c>
      <c r="I510" s="6" t="s">
        <v>38</v>
      </c>
      <c r="J510" s="6" t="s">
        <v>1780</v>
      </c>
      <c r="L510" s="6" t="s">
        <v>71</v>
      </c>
      <c r="M510" s="7">
        <v>20414.0</v>
      </c>
      <c r="N510" s="7">
        <v>30012.0</v>
      </c>
      <c r="O510" s="7">
        <v>4931.0</v>
      </c>
      <c r="P510" s="8"/>
    </row>
    <row r="511" ht="14.25" customHeight="1">
      <c r="A511" s="4" t="s">
        <v>1781</v>
      </c>
      <c r="B511" s="4" t="s">
        <v>1782</v>
      </c>
      <c r="C511" s="4" t="s">
        <v>1781</v>
      </c>
      <c r="D511" s="5">
        <v>43815.0</v>
      </c>
      <c r="E511" s="4" t="s">
        <v>18</v>
      </c>
      <c r="H511" s="4" t="s">
        <v>1783</v>
      </c>
      <c r="I511" s="6" t="s">
        <v>38</v>
      </c>
      <c r="L511" s="4" t="s">
        <v>65</v>
      </c>
      <c r="M511" s="7">
        <v>16160.0</v>
      </c>
      <c r="N511" s="7">
        <v>276234.0</v>
      </c>
      <c r="O511" s="7">
        <v>3113.0</v>
      </c>
      <c r="P511" s="9" t="s">
        <v>40</v>
      </c>
    </row>
    <row r="512" ht="14.25" customHeight="1">
      <c r="A512" s="4" t="s">
        <v>1784</v>
      </c>
      <c r="B512" s="4" t="s">
        <v>1785</v>
      </c>
      <c r="C512" s="4" t="s">
        <v>1784</v>
      </c>
      <c r="D512" s="5">
        <v>107551.0</v>
      </c>
      <c r="E512" s="4" t="s">
        <v>18</v>
      </c>
      <c r="H512" s="4" t="s">
        <v>1786</v>
      </c>
      <c r="I512" s="6" t="s">
        <v>1787</v>
      </c>
      <c r="L512" s="4" t="s">
        <v>24</v>
      </c>
      <c r="M512" s="7">
        <v>9929.0</v>
      </c>
      <c r="N512" s="7">
        <v>19058.0</v>
      </c>
      <c r="O512" s="7">
        <v>2090.0</v>
      </c>
      <c r="P512" s="9" t="s">
        <v>40</v>
      </c>
    </row>
    <row r="513" ht="14.25" customHeight="1">
      <c r="A513" s="4" t="s">
        <v>1788</v>
      </c>
      <c r="B513" s="4" t="s">
        <v>1789</v>
      </c>
      <c r="C513" s="4" t="s">
        <v>1788</v>
      </c>
      <c r="D513" s="5">
        <v>106673.0</v>
      </c>
      <c r="E513" s="4" t="s">
        <v>18</v>
      </c>
      <c r="H513" s="6" t="s">
        <v>70</v>
      </c>
      <c r="I513" s="6" t="s">
        <v>38</v>
      </c>
      <c r="L513" s="4" t="s">
        <v>24</v>
      </c>
      <c r="M513" s="7">
        <v>4488.0</v>
      </c>
      <c r="N513" s="7">
        <v>8173.0</v>
      </c>
      <c r="O513" s="7">
        <v>1529.0</v>
      </c>
      <c r="P513" s="8"/>
    </row>
    <row r="514" ht="14.25" customHeight="1">
      <c r="A514" s="4" t="s">
        <v>1790</v>
      </c>
      <c r="B514" s="4" t="s">
        <v>1791</v>
      </c>
      <c r="C514" s="4" t="s">
        <v>1790</v>
      </c>
      <c r="D514" s="5">
        <v>333026.0</v>
      </c>
      <c r="E514" s="4" t="s">
        <v>18</v>
      </c>
      <c r="H514" s="4" t="s">
        <v>146</v>
      </c>
      <c r="I514" s="6" t="s">
        <v>147</v>
      </c>
      <c r="L514" s="4" t="s">
        <v>378</v>
      </c>
      <c r="M514" s="7">
        <v>4300.0</v>
      </c>
      <c r="N514" s="7">
        <v>60948.0</v>
      </c>
      <c r="O514" s="7">
        <v>1991.0</v>
      </c>
      <c r="P514" s="9" t="s">
        <v>40</v>
      </c>
    </row>
    <row r="515" ht="14.25" customHeight="1">
      <c r="A515" s="6" t="s">
        <v>1792</v>
      </c>
      <c r="B515" s="6" t="s">
        <v>1793</v>
      </c>
      <c r="C515" s="6" t="s">
        <v>1792</v>
      </c>
      <c r="D515" s="10">
        <v>1716397.0</v>
      </c>
      <c r="E515" s="6" t="s">
        <v>18</v>
      </c>
      <c r="H515" s="6" t="s">
        <v>1794</v>
      </c>
      <c r="I515" s="6" t="s">
        <v>1795</v>
      </c>
      <c r="L515" s="6" t="s">
        <v>1796</v>
      </c>
      <c r="M515" s="7">
        <v>6772.0</v>
      </c>
      <c r="N515" s="7">
        <v>286141.0</v>
      </c>
      <c r="O515" s="7">
        <v>943.0</v>
      </c>
      <c r="P515" s="8"/>
    </row>
    <row r="516" ht="14.25" customHeight="1">
      <c r="A516" s="6" t="s">
        <v>1797</v>
      </c>
      <c r="B516" s="6" t="s">
        <v>1798</v>
      </c>
      <c r="C516" s="6" t="s">
        <v>1797</v>
      </c>
      <c r="D516" s="10">
        <v>6417495.0</v>
      </c>
      <c r="E516" s="6" t="s">
        <v>18</v>
      </c>
      <c r="F516" s="6" t="s">
        <v>1799</v>
      </c>
      <c r="H516" s="6" t="s">
        <v>396</v>
      </c>
      <c r="I516" s="6" t="s">
        <v>397</v>
      </c>
      <c r="J516" s="14" t="s">
        <v>1800</v>
      </c>
      <c r="K516" s="6" t="s">
        <v>1801</v>
      </c>
      <c r="L516" s="6" t="s">
        <v>1802</v>
      </c>
      <c r="M516" s="7">
        <v>5.0</v>
      </c>
      <c r="N516" s="7">
        <v>17881.0</v>
      </c>
      <c r="O516" s="7">
        <v>5.0</v>
      </c>
      <c r="P516" s="8"/>
    </row>
    <row r="517" ht="14.25" customHeight="1">
      <c r="A517" s="6" t="s">
        <v>1803</v>
      </c>
      <c r="B517" s="6" t="s">
        <v>1804</v>
      </c>
      <c r="C517" s="6"/>
      <c r="D517" s="10">
        <v>1404767.0</v>
      </c>
      <c r="E517" s="6" t="s">
        <v>1024</v>
      </c>
      <c r="F517" s="6" t="s">
        <v>627</v>
      </c>
      <c r="G517" s="6" t="s">
        <v>393</v>
      </c>
      <c r="H517" s="6" t="s">
        <v>315</v>
      </c>
      <c r="I517" s="6" t="s">
        <v>316</v>
      </c>
      <c r="J517" s="19"/>
      <c r="L517" s="6" t="s">
        <v>1805</v>
      </c>
      <c r="M517" s="12">
        <v>157.0</v>
      </c>
      <c r="N517" s="12">
        <v>80.0</v>
      </c>
      <c r="O517" s="12">
        <v>136.0</v>
      </c>
      <c r="P517" s="9"/>
    </row>
    <row r="518" ht="14.25" customHeight="1">
      <c r="A518" s="4" t="s">
        <v>1806</v>
      </c>
      <c r="B518" s="4" t="s">
        <v>1807</v>
      </c>
      <c r="C518" s="4" t="s">
        <v>1806</v>
      </c>
      <c r="D518" s="5">
        <v>716083.0</v>
      </c>
      <c r="E518" s="4" t="s">
        <v>18</v>
      </c>
      <c r="F518" s="4" t="s">
        <v>1808</v>
      </c>
      <c r="G518" s="4" t="s">
        <v>190</v>
      </c>
      <c r="H518" s="4" t="s">
        <v>352</v>
      </c>
      <c r="I518" s="6" t="s">
        <v>353</v>
      </c>
      <c r="L518" s="4" t="s">
        <v>24</v>
      </c>
      <c r="M518" s="7">
        <v>5525.0</v>
      </c>
      <c r="N518" s="7">
        <v>31843.0</v>
      </c>
      <c r="O518" s="7">
        <v>3033.0</v>
      </c>
      <c r="P518" s="9" t="s">
        <v>40</v>
      </c>
    </row>
    <row r="519" ht="14.25" customHeight="1">
      <c r="A519" s="4" t="s">
        <v>1809</v>
      </c>
      <c r="B519" s="4" t="s">
        <v>1810</v>
      </c>
      <c r="C519" s="4" t="s">
        <v>1811</v>
      </c>
      <c r="D519" s="5">
        <v>1726624.0</v>
      </c>
      <c r="E519" s="4" t="s">
        <v>27</v>
      </c>
      <c r="F519" s="4" t="s">
        <v>623</v>
      </c>
      <c r="G519" s="4" t="s">
        <v>1812</v>
      </c>
      <c r="L519" s="4" t="s">
        <v>34</v>
      </c>
      <c r="M519" s="7">
        <v>0.0</v>
      </c>
      <c r="N519" s="7">
        <v>0.0</v>
      </c>
      <c r="O519" s="7">
        <v>0.0</v>
      </c>
      <c r="P519" s="8"/>
    </row>
    <row r="520" ht="14.25" customHeight="1">
      <c r="A520" s="4" t="s">
        <v>1813</v>
      </c>
      <c r="B520" s="4" t="s">
        <v>1814</v>
      </c>
      <c r="C520" s="4" t="s">
        <v>1813</v>
      </c>
      <c r="D520" s="5">
        <v>465930.0</v>
      </c>
      <c r="E520" s="4" t="s">
        <v>27</v>
      </c>
      <c r="F520" s="4" t="s">
        <v>217</v>
      </c>
      <c r="L520" s="4" t="s">
        <v>29</v>
      </c>
      <c r="M520" s="7">
        <v>264.0</v>
      </c>
      <c r="N520" s="7">
        <v>510.0</v>
      </c>
      <c r="O520" s="7">
        <v>184.0</v>
      </c>
      <c r="P520" s="8"/>
    </row>
    <row r="521" ht="14.25" customHeight="1">
      <c r="A521" s="4" t="s">
        <v>1815</v>
      </c>
      <c r="B521" s="4" t="s">
        <v>1816</v>
      </c>
      <c r="D521" s="5">
        <v>28982.0</v>
      </c>
      <c r="E521" s="4" t="s">
        <v>27</v>
      </c>
      <c r="F521" s="4" t="s">
        <v>623</v>
      </c>
      <c r="L521" s="4" t="s">
        <v>29</v>
      </c>
      <c r="M521" s="7">
        <v>2147.0</v>
      </c>
      <c r="N521" s="7">
        <v>618.0</v>
      </c>
      <c r="O521" s="7">
        <v>945.0</v>
      </c>
      <c r="P521" s="8"/>
    </row>
    <row r="522" ht="14.25" customHeight="1">
      <c r="A522" s="4" t="s">
        <v>1817</v>
      </c>
      <c r="B522" s="4" t="s">
        <v>1818</v>
      </c>
      <c r="C522" s="4" t="s">
        <v>1817</v>
      </c>
      <c r="D522" s="5">
        <v>39752.0</v>
      </c>
      <c r="E522" s="4" t="s">
        <v>18</v>
      </c>
      <c r="H522" s="4" t="s">
        <v>1819</v>
      </c>
      <c r="I522" s="6" t="s">
        <v>1820</v>
      </c>
      <c r="L522" s="4" t="s">
        <v>378</v>
      </c>
      <c r="M522" s="7">
        <v>8405.0</v>
      </c>
      <c r="N522" s="7">
        <v>240748.0</v>
      </c>
      <c r="O522" s="7">
        <v>3474.0</v>
      </c>
      <c r="P522" s="9" t="s">
        <v>40</v>
      </c>
    </row>
    <row r="523" ht="14.25" customHeight="1">
      <c r="A523" s="4" t="s">
        <v>1821</v>
      </c>
      <c r="B523" s="4" t="s">
        <v>1822</v>
      </c>
      <c r="D523" s="5">
        <v>258652.0</v>
      </c>
      <c r="E523" s="4" t="s">
        <v>18</v>
      </c>
      <c r="H523" s="4" t="s">
        <v>141</v>
      </c>
      <c r="I523" s="6" t="s">
        <v>142</v>
      </c>
      <c r="L523" s="4" t="s">
        <v>39</v>
      </c>
      <c r="M523" s="7">
        <v>9401.0</v>
      </c>
      <c r="N523" s="7">
        <v>53264.0</v>
      </c>
      <c r="O523" s="7">
        <v>1877.0</v>
      </c>
      <c r="P523" s="9" t="s">
        <v>40</v>
      </c>
    </row>
    <row r="524" ht="14.25" customHeight="1">
      <c r="A524" s="4" t="s">
        <v>1823</v>
      </c>
      <c r="B524" s="4" t="s">
        <v>1824</v>
      </c>
      <c r="C524" s="4" t="s">
        <v>1823</v>
      </c>
      <c r="D524" s="5">
        <v>825808.0</v>
      </c>
      <c r="E524" s="4" t="s">
        <v>18</v>
      </c>
      <c r="H524" s="4" t="s">
        <v>1518</v>
      </c>
      <c r="I524" s="6" t="s">
        <v>1519</v>
      </c>
      <c r="L524" s="4" t="s">
        <v>24</v>
      </c>
      <c r="M524" s="7">
        <v>3423.0</v>
      </c>
      <c r="N524" s="7">
        <v>15657.0</v>
      </c>
      <c r="O524" s="7">
        <v>1805.0</v>
      </c>
      <c r="P524" s="8"/>
    </row>
    <row r="525" ht="14.25" customHeight="1">
      <c r="A525" s="4" t="s">
        <v>1825</v>
      </c>
      <c r="B525" s="4" t="s">
        <v>1826</v>
      </c>
      <c r="C525" s="4" t="s">
        <v>1827</v>
      </c>
      <c r="D525" s="5">
        <v>622593.0</v>
      </c>
      <c r="E525" s="4" t="s">
        <v>18</v>
      </c>
      <c r="H525" s="4" t="s">
        <v>1051</v>
      </c>
      <c r="I525" s="6" t="s">
        <v>762</v>
      </c>
      <c r="L525" s="4" t="s">
        <v>65</v>
      </c>
      <c r="M525" s="7">
        <v>11663.0</v>
      </c>
      <c r="N525" s="7">
        <v>266198.0</v>
      </c>
      <c r="O525" s="7">
        <v>3515.0</v>
      </c>
      <c r="P525" s="9" t="s">
        <v>40</v>
      </c>
    </row>
    <row r="526" ht="14.25" customHeight="1">
      <c r="A526" s="4" t="s">
        <v>1828</v>
      </c>
      <c r="B526" s="4" t="s">
        <v>1829</v>
      </c>
      <c r="C526" s="4" t="s">
        <v>1828</v>
      </c>
      <c r="D526" s="5">
        <v>4851994.0</v>
      </c>
      <c r="E526" s="4" t="s">
        <v>18</v>
      </c>
      <c r="G526" s="4" t="s">
        <v>1830</v>
      </c>
      <c r="H526" s="4" t="s">
        <v>146</v>
      </c>
      <c r="I526" s="6" t="s">
        <v>147</v>
      </c>
      <c r="L526" s="4" t="s">
        <v>53</v>
      </c>
      <c r="M526" s="7">
        <v>32552.0</v>
      </c>
      <c r="N526" s="7">
        <v>14135.0</v>
      </c>
      <c r="O526" s="7">
        <v>806.0</v>
      </c>
      <c r="P526" s="8"/>
    </row>
    <row r="527" ht="14.25" customHeight="1">
      <c r="A527" s="6" t="s">
        <v>1831</v>
      </c>
      <c r="B527" s="6" t="s">
        <v>1832</v>
      </c>
      <c r="C527" s="6" t="s">
        <v>1831</v>
      </c>
      <c r="D527" s="10">
        <v>284837.0</v>
      </c>
      <c r="E527" s="6" t="s">
        <v>18</v>
      </c>
      <c r="H527" s="6" t="s">
        <v>70</v>
      </c>
      <c r="I527" s="6" t="s">
        <v>38</v>
      </c>
      <c r="J527" s="6" t="s">
        <v>1833</v>
      </c>
      <c r="L527" s="6" t="s">
        <v>71</v>
      </c>
      <c r="M527" s="7">
        <v>716.0</v>
      </c>
      <c r="N527" s="7">
        <v>43669.0</v>
      </c>
      <c r="O527" s="7">
        <v>464.0</v>
      </c>
      <c r="P527" s="8"/>
    </row>
    <row r="528" ht="14.25" customHeight="1">
      <c r="A528" s="4" t="s">
        <v>1834</v>
      </c>
      <c r="B528" s="4" t="s">
        <v>1835</v>
      </c>
      <c r="C528" s="4" t="s">
        <v>1834</v>
      </c>
      <c r="D528" s="5">
        <v>2551957.0</v>
      </c>
      <c r="E528" s="4" t="s">
        <v>18</v>
      </c>
      <c r="H528" s="4" t="s">
        <v>536</v>
      </c>
      <c r="I528" s="6" t="s">
        <v>537</v>
      </c>
      <c r="L528" s="4" t="s">
        <v>39</v>
      </c>
      <c r="M528" s="7">
        <v>255.0</v>
      </c>
      <c r="N528" s="7">
        <v>9.0</v>
      </c>
      <c r="O528" s="7">
        <v>167.0</v>
      </c>
      <c r="P528" s="8"/>
    </row>
    <row r="529" ht="14.25" customHeight="1">
      <c r="A529" s="4" t="s">
        <v>1836</v>
      </c>
      <c r="B529" s="4" t="s">
        <v>1837</v>
      </c>
      <c r="C529" s="4" t="s">
        <v>1836</v>
      </c>
      <c r="D529" s="5">
        <v>580099.0</v>
      </c>
      <c r="E529" s="4" t="s">
        <v>18</v>
      </c>
      <c r="H529" s="4" t="s">
        <v>1838</v>
      </c>
      <c r="I529" s="6" t="s">
        <v>1839</v>
      </c>
      <c r="L529" s="4" t="s">
        <v>39</v>
      </c>
      <c r="M529" s="7">
        <v>46.0</v>
      </c>
      <c r="N529" s="7">
        <v>1.0</v>
      </c>
      <c r="O529" s="7">
        <v>15.0</v>
      </c>
      <c r="P529" s="8"/>
    </row>
    <row r="530" ht="14.25" customHeight="1">
      <c r="A530" s="4" t="s">
        <v>1840</v>
      </c>
      <c r="B530" s="4" t="s">
        <v>1841</v>
      </c>
      <c r="D530" s="5">
        <v>3242232.0</v>
      </c>
      <c r="E530" s="4" t="s">
        <v>27</v>
      </c>
      <c r="F530" s="4" t="s">
        <v>123</v>
      </c>
      <c r="G530" s="4" t="s">
        <v>1842</v>
      </c>
      <c r="L530" s="4" t="s">
        <v>34</v>
      </c>
      <c r="M530" s="7">
        <v>0.0</v>
      </c>
      <c r="N530" s="7">
        <v>0.0</v>
      </c>
      <c r="O530" s="7">
        <v>0.0</v>
      </c>
      <c r="P530" s="8"/>
    </row>
    <row r="531" ht="14.25" customHeight="1">
      <c r="A531" s="4" t="s">
        <v>1843</v>
      </c>
      <c r="B531" s="4" t="s">
        <v>1844</v>
      </c>
      <c r="C531" s="4" t="s">
        <v>1843</v>
      </c>
      <c r="D531" s="5">
        <v>1482669.0</v>
      </c>
      <c r="E531" s="4" t="s">
        <v>27</v>
      </c>
      <c r="F531" s="4" t="s">
        <v>623</v>
      </c>
      <c r="G531" s="4" t="s">
        <v>1196</v>
      </c>
      <c r="L531" s="4" t="s">
        <v>34</v>
      </c>
      <c r="M531" s="7">
        <v>5867.0</v>
      </c>
      <c r="N531" s="7">
        <v>11627.0</v>
      </c>
      <c r="O531" s="7">
        <v>1305.0</v>
      </c>
      <c r="P531" s="8"/>
    </row>
    <row r="532" ht="14.25" customHeight="1">
      <c r="A532" s="4" t="s">
        <v>1845</v>
      </c>
      <c r="B532" s="4" t="s">
        <v>1846</v>
      </c>
      <c r="C532" s="4" t="s">
        <v>1845</v>
      </c>
      <c r="D532" s="5">
        <v>246983.0</v>
      </c>
      <c r="E532" s="4" t="s">
        <v>18</v>
      </c>
      <c r="H532" s="4" t="s">
        <v>1847</v>
      </c>
      <c r="I532" s="6" t="s">
        <v>1848</v>
      </c>
      <c r="L532" s="4" t="s">
        <v>65</v>
      </c>
      <c r="M532" s="7">
        <v>4.0</v>
      </c>
      <c r="N532" s="7">
        <v>17884.0</v>
      </c>
      <c r="O532" s="7">
        <v>4.0</v>
      </c>
      <c r="P532" s="9" t="s">
        <v>40</v>
      </c>
    </row>
    <row r="533" ht="14.25" customHeight="1">
      <c r="A533" s="4" t="s">
        <v>1849</v>
      </c>
      <c r="B533" s="4" t="s">
        <v>1850</v>
      </c>
      <c r="C533" s="4" t="s">
        <v>1849</v>
      </c>
      <c r="D533" s="5">
        <v>113886.0</v>
      </c>
      <c r="E533" s="4" t="s">
        <v>18</v>
      </c>
      <c r="H533" s="4" t="s">
        <v>1281</v>
      </c>
      <c r="I533" s="6" t="s">
        <v>768</v>
      </c>
      <c r="L533" s="4" t="s">
        <v>24</v>
      </c>
      <c r="M533" s="7">
        <v>442.0</v>
      </c>
      <c r="N533" s="7">
        <v>873.0</v>
      </c>
      <c r="O533" s="7">
        <v>138.0</v>
      </c>
      <c r="P533" s="8"/>
    </row>
    <row r="534" ht="14.25" customHeight="1">
      <c r="A534" s="4" t="s">
        <v>1851</v>
      </c>
      <c r="B534" s="4" t="s">
        <v>1852</v>
      </c>
      <c r="C534" s="4" t="s">
        <v>1851</v>
      </c>
      <c r="D534" s="5">
        <v>770269.0</v>
      </c>
      <c r="E534" s="4" t="s">
        <v>18</v>
      </c>
      <c r="H534" s="4" t="s">
        <v>396</v>
      </c>
      <c r="I534" s="6" t="s">
        <v>397</v>
      </c>
      <c r="L534" s="4" t="s">
        <v>24</v>
      </c>
      <c r="M534" s="7">
        <v>587.0</v>
      </c>
      <c r="N534" s="7">
        <v>3451.0</v>
      </c>
      <c r="O534" s="7">
        <v>385.0</v>
      </c>
      <c r="P534" s="11"/>
    </row>
    <row r="535" ht="14.25" customHeight="1">
      <c r="A535" s="4" t="s">
        <v>1853</v>
      </c>
      <c r="B535" s="4" t="s">
        <v>1854</v>
      </c>
      <c r="C535" s="4" t="s">
        <v>1853</v>
      </c>
      <c r="D535" s="5">
        <v>4334181.0</v>
      </c>
      <c r="E535" s="4" t="s">
        <v>27</v>
      </c>
      <c r="F535" s="4" t="s">
        <v>123</v>
      </c>
      <c r="G535" s="4" t="s">
        <v>1855</v>
      </c>
      <c r="L535" s="4" t="s">
        <v>34</v>
      </c>
      <c r="M535" s="7">
        <v>12.0</v>
      </c>
      <c r="N535" s="7">
        <v>0.0</v>
      </c>
      <c r="O535" s="7">
        <v>1.0</v>
      </c>
      <c r="P535" s="8"/>
    </row>
    <row r="536" ht="14.25" customHeight="1">
      <c r="A536" s="4" t="s">
        <v>1856</v>
      </c>
      <c r="B536" s="4" t="s">
        <v>1857</v>
      </c>
      <c r="C536" s="4" t="s">
        <v>1858</v>
      </c>
      <c r="D536" s="5">
        <v>4253518.0</v>
      </c>
      <c r="E536" s="4" t="s">
        <v>18</v>
      </c>
      <c r="F536" s="4" t="s">
        <v>1859</v>
      </c>
      <c r="G536" s="4" t="s">
        <v>168</v>
      </c>
      <c r="H536" s="4" t="s">
        <v>70</v>
      </c>
      <c r="I536" s="6" t="s">
        <v>38</v>
      </c>
      <c r="L536" s="4" t="s">
        <v>24</v>
      </c>
      <c r="M536" s="7">
        <v>40.0</v>
      </c>
      <c r="N536" s="7">
        <v>79.0</v>
      </c>
      <c r="O536" s="7">
        <v>33.0</v>
      </c>
      <c r="P536" s="8"/>
    </row>
    <row r="537" ht="14.25" customHeight="1">
      <c r="A537" s="6" t="s">
        <v>1860</v>
      </c>
      <c r="B537" s="6" t="s">
        <v>1861</v>
      </c>
      <c r="C537" s="6" t="s">
        <v>1860</v>
      </c>
      <c r="D537" s="10">
        <v>259768.0</v>
      </c>
      <c r="E537" s="6" t="s">
        <v>18</v>
      </c>
      <c r="F537" s="6" t="s">
        <v>775</v>
      </c>
      <c r="G537" s="6" t="s">
        <v>1862</v>
      </c>
      <c r="H537" s="6" t="s">
        <v>70</v>
      </c>
      <c r="I537" s="6" t="s">
        <v>38</v>
      </c>
      <c r="J537" s="6" t="s">
        <v>1863</v>
      </c>
      <c r="L537" s="6" t="s">
        <v>71</v>
      </c>
      <c r="M537" s="7">
        <v>3253.0</v>
      </c>
      <c r="N537" s="7">
        <v>1004.0</v>
      </c>
      <c r="O537" s="7">
        <v>1331.0</v>
      </c>
      <c r="P537" s="8"/>
    </row>
    <row r="538" ht="14.25" customHeight="1">
      <c r="A538" s="4" t="s">
        <v>1864</v>
      </c>
      <c r="B538" s="4" t="s">
        <v>1865</v>
      </c>
      <c r="C538" s="4" t="s">
        <v>1864</v>
      </c>
      <c r="D538" s="5">
        <v>2298802.0</v>
      </c>
      <c r="E538" s="4" t="s">
        <v>18</v>
      </c>
      <c r="H538" s="4" t="s">
        <v>193</v>
      </c>
      <c r="I538" s="6" t="s">
        <v>63</v>
      </c>
      <c r="L538" s="4" t="s">
        <v>65</v>
      </c>
      <c r="M538" s="7">
        <v>215.0</v>
      </c>
      <c r="N538" s="7">
        <v>112713.0</v>
      </c>
      <c r="O538" s="7">
        <v>148.0</v>
      </c>
      <c r="P538" s="8"/>
    </row>
    <row r="539" ht="14.25" customHeight="1">
      <c r="A539" s="4" t="s">
        <v>1866</v>
      </c>
      <c r="B539" s="4" t="s">
        <v>1867</v>
      </c>
      <c r="C539" s="4" t="s">
        <v>1866</v>
      </c>
      <c r="D539" s="5">
        <v>52337.0</v>
      </c>
      <c r="E539" s="4" t="s">
        <v>27</v>
      </c>
      <c r="F539" s="4" t="s">
        <v>241</v>
      </c>
      <c r="L539" s="4" t="s">
        <v>242</v>
      </c>
      <c r="M539" s="7">
        <v>16.0</v>
      </c>
      <c r="N539" s="7">
        <v>4.0</v>
      </c>
      <c r="O539" s="7">
        <v>16.0</v>
      </c>
      <c r="P539" s="8"/>
    </row>
    <row r="540" ht="14.25" customHeight="1">
      <c r="A540" s="4" t="s">
        <v>1868</v>
      </c>
      <c r="B540" s="4" t="s">
        <v>1869</v>
      </c>
      <c r="C540" s="4" t="s">
        <v>1868</v>
      </c>
      <c r="D540" s="5">
        <v>761643.0</v>
      </c>
      <c r="E540" s="4" t="s">
        <v>27</v>
      </c>
      <c r="F540" s="4" t="s">
        <v>217</v>
      </c>
      <c r="G540" s="4" t="s">
        <v>1870</v>
      </c>
      <c r="L540" s="4" t="s">
        <v>34</v>
      </c>
      <c r="M540" s="7">
        <v>591.0</v>
      </c>
      <c r="N540" s="7">
        <v>1.0</v>
      </c>
      <c r="O540" s="7">
        <v>437.0</v>
      </c>
      <c r="P540" s="8"/>
    </row>
    <row r="541" ht="14.25" customHeight="1">
      <c r="A541" s="4" t="s">
        <v>1871</v>
      </c>
      <c r="B541" s="4" t="s">
        <v>1872</v>
      </c>
      <c r="C541" s="4" t="s">
        <v>1871</v>
      </c>
      <c r="D541" s="5">
        <v>2602237.0</v>
      </c>
      <c r="E541" s="4" t="s">
        <v>18</v>
      </c>
      <c r="H541" s="4" t="s">
        <v>1873</v>
      </c>
      <c r="I541" s="6" t="s">
        <v>1874</v>
      </c>
      <c r="L541" s="4" t="s">
        <v>24</v>
      </c>
      <c r="M541" s="7">
        <v>112.0</v>
      </c>
      <c r="N541" s="7">
        <v>687.0</v>
      </c>
      <c r="O541" s="7">
        <v>95.0</v>
      </c>
      <c r="P541" s="8"/>
    </row>
    <row r="542" ht="14.25" customHeight="1">
      <c r="A542" s="4" t="s">
        <v>1875</v>
      </c>
      <c r="B542" s="4" t="s">
        <v>1876</v>
      </c>
      <c r="C542" s="4" t="s">
        <v>1877</v>
      </c>
      <c r="D542" s="5">
        <v>6039523.0</v>
      </c>
      <c r="E542" s="4" t="s">
        <v>27</v>
      </c>
      <c r="F542" s="4" t="s">
        <v>392</v>
      </c>
      <c r="G542" s="4" t="s">
        <v>168</v>
      </c>
      <c r="H542" s="6" t="s">
        <v>70</v>
      </c>
      <c r="I542" s="6" t="s">
        <v>38</v>
      </c>
      <c r="L542" s="4" t="s">
        <v>34</v>
      </c>
      <c r="M542" s="7">
        <v>0.0</v>
      </c>
      <c r="N542" s="7">
        <v>64.0</v>
      </c>
      <c r="O542" s="7">
        <v>0.0</v>
      </c>
      <c r="P542" s="8"/>
    </row>
    <row r="543" ht="14.25" customHeight="1">
      <c r="A543" s="4" t="s">
        <v>1878</v>
      </c>
      <c r="B543" s="4" t="s">
        <v>1879</v>
      </c>
      <c r="C543" s="4" t="s">
        <v>1878</v>
      </c>
      <c r="D543" s="5">
        <v>2324549.0</v>
      </c>
      <c r="E543" s="4" t="s">
        <v>18</v>
      </c>
      <c r="H543" s="4" t="s">
        <v>70</v>
      </c>
      <c r="I543" s="6" t="s">
        <v>38</v>
      </c>
      <c r="L543" s="4" t="s">
        <v>24</v>
      </c>
      <c r="M543" s="7">
        <v>118.0</v>
      </c>
      <c r="N543" s="7">
        <v>7846.0</v>
      </c>
      <c r="O543" s="7">
        <v>97.0</v>
      </c>
      <c r="P543" s="8"/>
    </row>
    <row r="544" ht="14.25" customHeight="1">
      <c r="A544" s="4" t="s">
        <v>1880</v>
      </c>
      <c r="B544" s="4" t="s">
        <v>1881</v>
      </c>
      <c r="C544" s="4" t="s">
        <v>1880</v>
      </c>
      <c r="D544" s="5">
        <v>38018.0</v>
      </c>
      <c r="E544" s="4" t="s">
        <v>27</v>
      </c>
      <c r="F544" s="4" t="s">
        <v>176</v>
      </c>
      <c r="G544" s="4" t="s">
        <v>776</v>
      </c>
      <c r="J544" s="4" t="s">
        <v>1882</v>
      </c>
      <c r="L544" s="4" t="s">
        <v>34</v>
      </c>
      <c r="M544" s="7">
        <v>0.0</v>
      </c>
      <c r="N544" s="7">
        <v>0.0</v>
      </c>
      <c r="O544" s="7">
        <v>0.0</v>
      </c>
      <c r="P544" s="8"/>
    </row>
    <row r="545" ht="14.25" customHeight="1">
      <c r="A545" s="4" t="s">
        <v>1883</v>
      </c>
      <c r="B545" s="4" t="s">
        <v>1884</v>
      </c>
      <c r="C545" s="4" t="s">
        <v>1883</v>
      </c>
      <c r="D545" s="5">
        <v>710938.0</v>
      </c>
      <c r="E545" s="4" t="s">
        <v>27</v>
      </c>
      <c r="F545" s="4" t="s">
        <v>237</v>
      </c>
      <c r="L545" s="4" t="s">
        <v>29</v>
      </c>
      <c r="M545" s="7">
        <v>1684.0</v>
      </c>
      <c r="N545" s="7">
        <v>364.0</v>
      </c>
      <c r="O545" s="7">
        <v>738.0</v>
      </c>
      <c r="P545" s="8"/>
    </row>
    <row r="546" ht="14.25" customHeight="1">
      <c r="A546" s="4" t="s">
        <v>1885</v>
      </c>
      <c r="B546" s="4" t="s">
        <v>1886</v>
      </c>
      <c r="D546" s="5">
        <v>842874.0</v>
      </c>
      <c r="E546" s="4" t="s">
        <v>18</v>
      </c>
      <c r="G546" s="4" t="s">
        <v>1887</v>
      </c>
      <c r="H546" s="4" t="s">
        <v>1888</v>
      </c>
      <c r="I546" s="6" t="s">
        <v>147</v>
      </c>
      <c r="L546" s="4" t="s">
        <v>378</v>
      </c>
      <c r="M546" s="7">
        <v>34008.0</v>
      </c>
      <c r="N546" s="7">
        <v>215435.0</v>
      </c>
      <c r="O546" s="7">
        <v>9986.0</v>
      </c>
      <c r="P546" s="8"/>
    </row>
    <row r="547" ht="14.25" customHeight="1">
      <c r="A547" s="4" t="s">
        <v>1889</v>
      </c>
      <c r="B547" s="4" t="s">
        <v>1890</v>
      </c>
      <c r="C547" s="4" t="s">
        <v>1889</v>
      </c>
      <c r="D547" s="5">
        <v>4606323.0</v>
      </c>
      <c r="E547" s="4" t="s">
        <v>27</v>
      </c>
      <c r="F547" s="4" t="s">
        <v>861</v>
      </c>
      <c r="G547" s="4" t="s">
        <v>1891</v>
      </c>
      <c r="L547" s="4" t="s">
        <v>34</v>
      </c>
      <c r="M547" s="7">
        <v>0.0</v>
      </c>
      <c r="N547" s="7">
        <v>0.0</v>
      </c>
      <c r="O547" s="7">
        <v>0.0</v>
      </c>
      <c r="P547" s="8"/>
    </row>
    <row r="548" ht="14.25" customHeight="1">
      <c r="A548" s="4" t="s">
        <v>1892</v>
      </c>
      <c r="B548" s="4" t="s">
        <v>1893</v>
      </c>
      <c r="D548" s="5">
        <v>1395818.0</v>
      </c>
      <c r="E548" s="4" t="s">
        <v>27</v>
      </c>
      <c r="F548" s="4" t="s">
        <v>241</v>
      </c>
      <c r="G548" s="4" t="s">
        <v>1894</v>
      </c>
      <c r="L548" s="4" t="s">
        <v>29</v>
      </c>
      <c r="M548" s="7">
        <v>0.0</v>
      </c>
      <c r="N548" s="7">
        <v>0.0</v>
      </c>
      <c r="O548" s="7">
        <v>0.0</v>
      </c>
      <c r="P548" s="8"/>
    </row>
    <row r="549" ht="14.25" customHeight="1">
      <c r="A549" s="6" t="s">
        <v>1895</v>
      </c>
      <c r="B549" s="6" t="s">
        <v>1896</v>
      </c>
      <c r="D549" s="10">
        <v>270802.0</v>
      </c>
      <c r="E549" s="6" t="s">
        <v>18</v>
      </c>
      <c r="F549" s="6" t="s">
        <v>1897</v>
      </c>
      <c r="G549" s="6" t="s">
        <v>1898</v>
      </c>
      <c r="H549" s="6" t="s">
        <v>1899</v>
      </c>
      <c r="I549" s="6" t="s">
        <v>1900</v>
      </c>
      <c r="J549" s="6" t="s">
        <v>1901</v>
      </c>
      <c r="L549" s="6" t="s">
        <v>71</v>
      </c>
      <c r="M549" s="7">
        <v>6768.0</v>
      </c>
      <c r="N549" s="7">
        <v>2941.0</v>
      </c>
      <c r="O549" s="7">
        <v>2738.0</v>
      </c>
      <c r="P549" s="8"/>
    </row>
    <row r="550" ht="14.25" customHeight="1">
      <c r="A550" s="4" t="s">
        <v>1902</v>
      </c>
      <c r="B550" s="4" t="s">
        <v>1903</v>
      </c>
      <c r="C550" s="4" t="s">
        <v>1902</v>
      </c>
      <c r="D550" s="5">
        <v>208002.0</v>
      </c>
      <c r="E550" s="4" t="s">
        <v>27</v>
      </c>
      <c r="F550" s="4" t="s">
        <v>392</v>
      </c>
      <c r="G550" s="4" t="s">
        <v>1904</v>
      </c>
      <c r="L550" s="4" t="s">
        <v>34</v>
      </c>
      <c r="M550" s="7">
        <v>688.0</v>
      </c>
      <c r="N550" s="7">
        <v>340.0</v>
      </c>
      <c r="O550" s="7">
        <v>356.0</v>
      </c>
      <c r="P550" s="8"/>
    </row>
    <row r="551" ht="14.25" customHeight="1">
      <c r="A551" s="6" t="s">
        <v>1905</v>
      </c>
      <c r="B551" s="6" t="s">
        <v>1906</v>
      </c>
      <c r="D551" s="10">
        <v>1405625.0</v>
      </c>
      <c r="E551" s="6" t="s">
        <v>18</v>
      </c>
      <c r="H551" s="6" t="s">
        <v>1907</v>
      </c>
      <c r="I551" s="6" t="s">
        <v>1908</v>
      </c>
      <c r="J551" s="6" t="s">
        <v>1909</v>
      </c>
      <c r="L551" s="6" t="s">
        <v>71</v>
      </c>
      <c r="M551" s="7">
        <v>711.0</v>
      </c>
      <c r="N551" s="7">
        <v>100.0</v>
      </c>
      <c r="O551" s="7">
        <v>472.0</v>
      </c>
      <c r="P551" s="8"/>
    </row>
    <row r="552" ht="14.25" customHeight="1">
      <c r="A552" s="4" t="s">
        <v>1910</v>
      </c>
      <c r="B552" s="4" t="s">
        <v>1911</v>
      </c>
      <c r="C552" s="4" t="s">
        <v>1910</v>
      </c>
      <c r="D552" s="5">
        <v>2470.0</v>
      </c>
      <c r="E552" s="4" t="s">
        <v>27</v>
      </c>
      <c r="F552" s="4" t="s">
        <v>123</v>
      </c>
      <c r="L552" s="4" t="s">
        <v>29</v>
      </c>
      <c r="M552" s="7">
        <v>16505.0</v>
      </c>
      <c r="N552" s="7">
        <v>16686.0</v>
      </c>
      <c r="O552" s="7">
        <v>4078.0</v>
      </c>
      <c r="P552" s="9" t="s">
        <v>40</v>
      </c>
    </row>
    <row r="553" ht="14.25" customHeight="1">
      <c r="A553" s="4" t="s">
        <v>1912</v>
      </c>
      <c r="B553" s="4" t="s">
        <v>1913</v>
      </c>
      <c r="C553" s="4" t="s">
        <v>1912</v>
      </c>
      <c r="D553" s="5">
        <v>2347791.0</v>
      </c>
      <c r="E553" s="4" t="s">
        <v>18</v>
      </c>
      <c r="H553" s="4" t="s">
        <v>984</v>
      </c>
      <c r="I553" s="6" t="s">
        <v>768</v>
      </c>
      <c r="L553" s="4" t="s">
        <v>24</v>
      </c>
      <c r="M553" s="7">
        <v>2020.0</v>
      </c>
      <c r="N553" s="7">
        <v>248.0</v>
      </c>
      <c r="O553" s="7">
        <v>486.0</v>
      </c>
      <c r="P553" s="8"/>
    </row>
    <row r="554" ht="14.25" customHeight="1">
      <c r="A554" s="4" t="s">
        <v>1914</v>
      </c>
      <c r="B554" s="4" t="s">
        <v>1915</v>
      </c>
      <c r="C554" s="4" t="s">
        <v>1914</v>
      </c>
      <c r="D554" s="5">
        <v>1816805.0</v>
      </c>
      <c r="E554" s="4" t="s">
        <v>18</v>
      </c>
      <c r="H554" s="4" t="s">
        <v>70</v>
      </c>
      <c r="I554" s="6" t="s">
        <v>38</v>
      </c>
      <c r="L554" s="4" t="s">
        <v>53</v>
      </c>
      <c r="M554" s="7">
        <v>18797.0</v>
      </c>
      <c r="N554" s="7">
        <v>4865.0</v>
      </c>
      <c r="O554" s="7">
        <v>6325.0</v>
      </c>
      <c r="P554" s="8"/>
    </row>
    <row r="555" ht="14.25" customHeight="1">
      <c r="A555" s="6" t="s">
        <v>1916</v>
      </c>
      <c r="B555" s="6" t="s">
        <v>1917</v>
      </c>
      <c r="C555" s="6" t="s">
        <v>1916</v>
      </c>
      <c r="D555" s="10">
        <v>2233403.0</v>
      </c>
      <c r="E555" s="6" t="s">
        <v>18</v>
      </c>
      <c r="H555" s="6" t="s">
        <v>315</v>
      </c>
      <c r="I555" s="6" t="s">
        <v>316</v>
      </c>
      <c r="L555" s="6" t="s">
        <v>1918</v>
      </c>
      <c r="M555" s="12">
        <v>8248.0</v>
      </c>
      <c r="N555" s="12">
        <v>12565.0</v>
      </c>
      <c r="O555" s="12">
        <v>3216.0</v>
      </c>
      <c r="P555" s="8"/>
    </row>
    <row r="556" ht="14.25" customHeight="1">
      <c r="A556" s="4" t="s">
        <v>1919</v>
      </c>
      <c r="B556" s="4" t="s">
        <v>1920</v>
      </c>
      <c r="C556" s="4" t="s">
        <v>1921</v>
      </c>
      <c r="D556" s="5">
        <v>144599.0</v>
      </c>
      <c r="E556" s="4" t="s">
        <v>18</v>
      </c>
      <c r="L556" s="4" t="s">
        <v>29</v>
      </c>
      <c r="M556" s="7">
        <v>417.0</v>
      </c>
      <c r="N556" s="7">
        <v>3.0</v>
      </c>
      <c r="O556" s="7">
        <v>136.0</v>
      </c>
      <c r="P556" s="8"/>
    </row>
    <row r="557" ht="14.25" customHeight="1">
      <c r="A557" s="4" t="s">
        <v>1922</v>
      </c>
      <c r="B557" s="4" t="s">
        <v>1923</v>
      </c>
      <c r="C557" s="4" t="s">
        <v>1922</v>
      </c>
      <c r="D557" s="5">
        <v>11700.0</v>
      </c>
      <c r="E557" s="4" t="s">
        <v>18</v>
      </c>
      <c r="G557" s="4" t="s">
        <v>1924</v>
      </c>
      <c r="H557" s="4" t="s">
        <v>1925</v>
      </c>
      <c r="I557" s="6" t="s">
        <v>512</v>
      </c>
      <c r="L557" s="4" t="s">
        <v>378</v>
      </c>
      <c r="M557" s="7">
        <v>140.0</v>
      </c>
      <c r="N557" s="7">
        <v>133262.0</v>
      </c>
      <c r="O557" s="7">
        <v>121.0</v>
      </c>
      <c r="P557" s="9" t="s">
        <v>40</v>
      </c>
    </row>
    <row r="558" ht="14.25" customHeight="1">
      <c r="A558" s="4" t="s">
        <v>1926</v>
      </c>
      <c r="B558" s="4" t="s">
        <v>1927</v>
      </c>
      <c r="C558" s="4" t="s">
        <v>1926</v>
      </c>
      <c r="D558" s="5">
        <v>4717814.0</v>
      </c>
      <c r="E558" s="4" t="s">
        <v>18</v>
      </c>
      <c r="H558" s="4" t="s">
        <v>70</v>
      </c>
      <c r="I558" s="6" t="s">
        <v>38</v>
      </c>
      <c r="L558" s="4" t="s">
        <v>24</v>
      </c>
      <c r="M558" s="7">
        <v>2.0</v>
      </c>
      <c r="N558" s="7">
        <v>0.0</v>
      </c>
      <c r="O558" s="7">
        <v>0.0</v>
      </c>
      <c r="P558" s="8"/>
    </row>
    <row r="559" ht="14.25" customHeight="1">
      <c r="A559" s="4" t="s">
        <v>1928</v>
      </c>
      <c r="B559" s="4" t="s">
        <v>1929</v>
      </c>
      <c r="C559" s="4" t="s">
        <v>1928</v>
      </c>
      <c r="D559" s="5">
        <v>2149235.0</v>
      </c>
      <c r="E559" s="4" t="s">
        <v>18</v>
      </c>
      <c r="H559" s="4" t="s">
        <v>352</v>
      </c>
      <c r="I559" s="6" t="s">
        <v>353</v>
      </c>
      <c r="L559" s="4" t="s">
        <v>24</v>
      </c>
      <c r="M559" s="7">
        <v>2876.0</v>
      </c>
      <c r="N559" s="7">
        <v>11224.0</v>
      </c>
      <c r="O559" s="7">
        <v>2094.0</v>
      </c>
      <c r="P559" s="8"/>
    </row>
    <row r="560" ht="14.25" customHeight="1">
      <c r="A560" s="6" t="s">
        <v>1930</v>
      </c>
      <c r="B560" s="6" t="s">
        <v>1931</v>
      </c>
      <c r="C560" s="6" t="s">
        <v>1932</v>
      </c>
      <c r="D560" s="10">
        <v>34488.0</v>
      </c>
      <c r="E560" s="6" t="s">
        <v>18</v>
      </c>
      <c r="F560" s="6" t="s">
        <v>631</v>
      </c>
      <c r="G560" s="6" t="s">
        <v>1235</v>
      </c>
      <c r="H560" s="6" t="s">
        <v>702</v>
      </c>
      <c r="I560" s="6" t="s">
        <v>703</v>
      </c>
      <c r="J560" s="6" t="s">
        <v>1933</v>
      </c>
      <c r="K560" s="6" t="s">
        <v>1618</v>
      </c>
      <c r="L560" s="6" t="s">
        <v>1619</v>
      </c>
      <c r="M560" s="7">
        <v>10770.0</v>
      </c>
      <c r="N560" s="7">
        <v>36994.0</v>
      </c>
      <c r="O560" s="7">
        <v>3061.0</v>
      </c>
      <c r="P560" s="9" t="s">
        <v>40</v>
      </c>
    </row>
    <row r="561" ht="14.25" customHeight="1">
      <c r="A561" s="4" t="s">
        <v>1934</v>
      </c>
      <c r="B561" s="4" t="s">
        <v>1935</v>
      </c>
      <c r="C561" s="4" t="s">
        <v>1934</v>
      </c>
      <c r="D561" s="5">
        <v>2201591.0</v>
      </c>
      <c r="E561" s="4" t="s">
        <v>18</v>
      </c>
      <c r="H561" s="4" t="s">
        <v>1936</v>
      </c>
      <c r="I561" s="6" t="s">
        <v>1937</v>
      </c>
      <c r="L561" s="4" t="s">
        <v>24</v>
      </c>
      <c r="M561" s="7">
        <v>9929.0</v>
      </c>
      <c r="N561" s="7">
        <v>37889.0</v>
      </c>
      <c r="O561" s="7">
        <v>2588.0</v>
      </c>
      <c r="P561" s="8"/>
    </row>
    <row r="562" ht="14.25" customHeight="1">
      <c r="A562" s="4" t="s">
        <v>1938</v>
      </c>
      <c r="B562" s="6" t="s">
        <v>1939</v>
      </c>
      <c r="C562" s="6" t="s">
        <v>1940</v>
      </c>
      <c r="D562" s="10">
        <v>5676520.0</v>
      </c>
      <c r="E562" s="4" t="s">
        <v>27</v>
      </c>
      <c r="F562" s="4" t="s">
        <v>308</v>
      </c>
      <c r="G562" s="4" t="s">
        <v>1941</v>
      </c>
      <c r="H562" s="6" t="s">
        <v>70</v>
      </c>
      <c r="I562" s="6" t="s">
        <v>38</v>
      </c>
      <c r="L562" s="6" t="s">
        <v>71</v>
      </c>
      <c r="M562" s="7">
        <v>24.0</v>
      </c>
      <c r="N562" s="7">
        <v>0.0</v>
      </c>
      <c r="O562" s="7">
        <v>23.0</v>
      </c>
      <c r="P562" s="8"/>
    </row>
    <row r="563" ht="14.25" customHeight="1">
      <c r="A563" s="4" t="s">
        <v>1942</v>
      </c>
      <c r="B563" s="4" t="s">
        <v>1943</v>
      </c>
      <c r="C563" s="4" t="s">
        <v>1942</v>
      </c>
      <c r="D563" s="5">
        <v>2564864.0</v>
      </c>
      <c r="E563" s="4" t="s">
        <v>18</v>
      </c>
      <c r="H563" s="4" t="s">
        <v>70</v>
      </c>
      <c r="I563" s="6" t="s">
        <v>38</v>
      </c>
      <c r="L563" s="4" t="s">
        <v>53</v>
      </c>
      <c r="M563" s="7">
        <v>1298.0</v>
      </c>
      <c r="N563" s="7">
        <v>87829.0</v>
      </c>
      <c r="O563" s="7">
        <v>743.0</v>
      </c>
      <c r="P563" s="8"/>
    </row>
    <row r="564" ht="14.25" customHeight="1">
      <c r="A564" s="4" t="s">
        <v>1944</v>
      </c>
      <c r="B564" s="6" t="s">
        <v>1945</v>
      </c>
      <c r="D564" s="10">
        <v>1599191.0</v>
      </c>
      <c r="E564" s="4" t="s">
        <v>27</v>
      </c>
      <c r="F564" s="4" t="s">
        <v>1008</v>
      </c>
      <c r="G564" s="4" t="s">
        <v>1259</v>
      </c>
      <c r="H564" s="6" t="s">
        <v>70</v>
      </c>
      <c r="I564" s="6" t="s">
        <v>38</v>
      </c>
      <c r="J564" s="6" t="s">
        <v>1946</v>
      </c>
      <c r="L564" s="4" t="s">
        <v>34</v>
      </c>
      <c r="M564" s="7">
        <v>389.0</v>
      </c>
      <c r="N564" s="7">
        <v>16.0</v>
      </c>
      <c r="O564" s="7">
        <v>306.0</v>
      </c>
      <c r="P564" s="8"/>
    </row>
    <row r="565" ht="14.25" customHeight="1">
      <c r="A565" s="4" t="s">
        <v>1947</v>
      </c>
      <c r="B565" s="4" t="s">
        <v>1948</v>
      </c>
      <c r="C565" s="4" t="s">
        <v>1949</v>
      </c>
      <c r="D565" s="5">
        <v>26905.0</v>
      </c>
      <c r="E565" s="4" t="s">
        <v>18</v>
      </c>
      <c r="H565" s="4" t="s">
        <v>1950</v>
      </c>
      <c r="I565" s="6" t="s">
        <v>38</v>
      </c>
      <c r="J565" s="4" t="s">
        <v>157</v>
      </c>
      <c r="L565" s="4" t="s">
        <v>65</v>
      </c>
      <c r="M565" s="7">
        <v>784.0</v>
      </c>
      <c r="N565" s="7">
        <v>336956.0</v>
      </c>
      <c r="O565" s="7">
        <v>639.0</v>
      </c>
      <c r="P565" s="8"/>
    </row>
    <row r="566" ht="14.25" customHeight="1">
      <c r="B566" s="4" t="s">
        <v>1951</v>
      </c>
      <c r="D566" s="5">
        <v>2144329.0</v>
      </c>
      <c r="E566" s="4" t="s">
        <v>18</v>
      </c>
      <c r="H566" s="6" t="s">
        <v>70</v>
      </c>
      <c r="I566" s="6" t="s">
        <v>38</v>
      </c>
      <c r="L566" s="4" t="s">
        <v>24</v>
      </c>
      <c r="M566" s="7">
        <v>24.0</v>
      </c>
      <c r="N566" s="7">
        <v>0.0</v>
      </c>
      <c r="O566" s="7">
        <v>16.0</v>
      </c>
      <c r="P566" s="8"/>
    </row>
    <row r="567" ht="14.25" customHeight="1">
      <c r="A567" s="4" t="s">
        <v>1952</v>
      </c>
      <c r="B567" s="4" t="s">
        <v>1953</v>
      </c>
      <c r="C567" s="4" t="s">
        <v>1952</v>
      </c>
      <c r="D567" s="5">
        <v>5887459.0</v>
      </c>
      <c r="E567" s="4" t="s">
        <v>27</v>
      </c>
      <c r="F567" s="4" t="s">
        <v>428</v>
      </c>
      <c r="G567" s="4" t="s">
        <v>1954</v>
      </c>
      <c r="L567" s="4" t="s">
        <v>34</v>
      </c>
      <c r="M567" s="7">
        <v>54.0</v>
      </c>
      <c r="N567" s="7">
        <v>5.0</v>
      </c>
      <c r="O567" s="7">
        <v>48.0</v>
      </c>
      <c r="P567" s="8"/>
    </row>
    <row r="568" ht="14.25" customHeight="1">
      <c r="A568" s="4" t="s">
        <v>1955</v>
      </c>
      <c r="B568" s="4" t="s">
        <v>1956</v>
      </c>
      <c r="C568" s="4" t="s">
        <v>1957</v>
      </c>
      <c r="D568" s="5">
        <v>152881.0</v>
      </c>
      <c r="E568" s="4" t="s">
        <v>27</v>
      </c>
      <c r="F568" s="4" t="s">
        <v>211</v>
      </c>
      <c r="G568" s="4" t="s">
        <v>1958</v>
      </c>
      <c r="L568" s="4" t="s">
        <v>34</v>
      </c>
      <c r="M568" s="7">
        <v>1134.0</v>
      </c>
      <c r="N568" s="7">
        <v>476.0</v>
      </c>
      <c r="O568" s="7">
        <v>664.0</v>
      </c>
      <c r="P568" s="8"/>
    </row>
    <row r="569" ht="14.25" customHeight="1">
      <c r="A569" s="4" t="s">
        <v>1959</v>
      </c>
      <c r="B569" s="4" t="s">
        <v>1960</v>
      </c>
      <c r="C569" s="4" t="s">
        <v>1959</v>
      </c>
      <c r="D569" s="5">
        <v>468408.0</v>
      </c>
      <c r="E569" s="4" t="s">
        <v>18</v>
      </c>
      <c r="H569" s="4" t="s">
        <v>435</v>
      </c>
      <c r="I569" s="6" t="s">
        <v>436</v>
      </c>
      <c r="L569" s="4" t="s">
        <v>24</v>
      </c>
      <c r="M569" s="7">
        <v>1054.0</v>
      </c>
      <c r="N569" s="7">
        <v>462.0</v>
      </c>
      <c r="O569" s="7">
        <v>483.0</v>
      </c>
      <c r="P569" s="8"/>
    </row>
    <row r="570" ht="14.25" customHeight="1">
      <c r="A570" s="4" t="s">
        <v>1961</v>
      </c>
      <c r="B570" s="4" t="s">
        <v>1962</v>
      </c>
      <c r="C570" s="4" t="s">
        <v>1961</v>
      </c>
      <c r="D570" s="5">
        <v>35132.0</v>
      </c>
      <c r="E570" s="4" t="s">
        <v>27</v>
      </c>
      <c r="F570" s="4" t="s">
        <v>241</v>
      </c>
      <c r="L570" s="4" t="s">
        <v>242</v>
      </c>
      <c r="M570" s="7">
        <v>1137.0</v>
      </c>
      <c r="N570" s="7">
        <v>391.0</v>
      </c>
      <c r="O570" s="7">
        <v>830.0</v>
      </c>
      <c r="P570" s="8"/>
    </row>
    <row r="571" ht="14.25" customHeight="1">
      <c r="A571" s="4" t="s">
        <v>1963</v>
      </c>
      <c r="B571" s="4" t="s">
        <v>1964</v>
      </c>
      <c r="C571" s="4" t="s">
        <v>1963</v>
      </c>
      <c r="D571" s="5">
        <v>1541993.0</v>
      </c>
      <c r="E571" s="4" t="s">
        <v>27</v>
      </c>
      <c r="F571" s="4" t="s">
        <v>305</v>
      </c>
      <c r="G571" s="4" t="s">
        <v>1965</v>
      </c>
      <c r="L571" s="4" t="s">
        <v>34</v>
      </c>
      <c r="M571" s="7">
        <v>5154.0</v>
      </c>
      <c r="N571" s="7">
        <v>1705.0</v>
      </c>
      <c r="O571" s="7">
        <v>2050.0</v>
      </c>
      <c r="P571" s="8"/>
    </row>
    <row r="572" ht="14.25" customHeight="1">
      <c r="A572" s="4" t="s">
        <v>1966</v>
      </c>
      <c r="B572" s="4" t="s">
        <v>1967</v>
      </c>
      <c r="C572" s="4" t="s">
        <v>1966</v>
      </c>
      <c r="D572" s="5">
        <v>1193680.0</v>
      </c>
      <c r="E572" s="4" t="s">
        <v>27</v>
      </c>
      <c r="F572" s="4" t="s">
        <v>189</v>
      </c>
      <c r="G572" s="4" t="s">
        <v>1480</v>
      </c>
      <c r="L572" s="4" t="s">
        <v>34</v>
      </c>
      <c r="M572" s="7">
        <v>1116.0</v>
      </c>
      <c r="N572" s="7">
        <v>1122.0</v>
      </c>
      <c r="O572" s="7">
        <v>546.0</v>
      </c>
      <c r="P572" s="8"/>
    </row>
    <row r="573" ht="14.25" customHeight="1">
      <c r="A573" s="4" t="s">
        <v>1968</v>
      </c>
      <c r="B573" s="4" t="s">
        <v>1969</v>
      </c>
      <c r="D573" s="5">
        <v>4743764.0</v>
      </c>
      <c r="E573" s="4" t="s">
        <v>27</v>
      </c>
      <c r="F573" s="4" t="s">
        <v>123</v>
      </c>
      <c r="G573" s="4" t="s">
        <v>168</v>
      </c>
      <c r="L573" s="4" t="s">
        <v>34</v>
      </c>
      <c r="M573" s="7">
        <v>0.0</v>
      </c>
      <c r="N573" s="7">
        <v>0.0</v>
      </c>
      <c r="O573" s="7">
        <v>0.0</v>
      </c>
      <c r="P573" s="8"/>
    </row>
    <row r="574" ht="14.25" customHeight="1">
      <c r="A574" s="4" t="s">
        <v>1970</v>
      </c>
      <c r="B574" s="4" t="s">
        <v>1971</v>
      </c>
      <c r="C574" s="4" t="s">
        <v>1970</v>
      </c>
      <c r="D574" s="5">
        <v>4018130.0</v>
      </c>
      <c r="E574" s="4" t="s">
        <v>18</v>
      </c>
      <c r="H574" s="4" t="s">
        <v>315</v>
      </c>
      <c r="I574" s="6" t="s">
        <v>316</v>
      </c>
      <c r="L574" s="4" t="s">
        <v>39</v>
      </c>
      <c r="M574" s="7">
        <v>9053.0</v>
      </c>
      <c r="N574" s="7">
        <v>514.0</v>
      </c>
      <c r="O574" s="7">
        <v>2778.0</v>
      </c>
      <c r="P574" s="8"/>
    </row>
    <row r="575" ht="14.25" customHeight="1">
      <c r="A575" s="4" t="s">
        <v>1972</v>
      </c>
      <c r="B575" s="4" t="s">
        <v>1973</v>
      </c>
      <c r="C575" s="4" t="s">
        <v>1972</v>
      </c>
      <c r="D575" s="5">
        <v>1475331.0</v>
      </c>
      <c r="E575" s="4" t="s">
        <v>18</v>
      </c>
      <c r="H575" s="4" t="s">
        <v>1974</v>
      </c>
      <c r="I575" s="6" t="s">
        <v>1975</v>
      </c>
      <c r="L575" s="4" t="s">
        <v>39</v>
      </c>
      <c r="M575" s="7">
        <v>263.0</v>
      </c>
      <c r="N575" s="7">
        <v>45701.0</v>
      </c>
      <c r="O575" s="7">
        <v>145.0</v>
      </c>
      <c r="P575" s="8"/>
    </row>
    <row r="576" ht="14.25" customHeight="1">
      <c r="A576" s="4" t="s">
        <v>1976</v>
      </c>
      <c r="B576" s="4" t="s">
        <v>1977</v>
      </c>
      <c r="C576" s="4" t="s">
        <v>1978</v>
      </c>
      <c r="D576" s="5">
        <v>42119.0</v>
      </c>
      <c r="E576" s="4" t="s">
        <v>18</v>
      </c>
      <c r="H576" s="4" t="s">
        <v>435</v>
      </c>
      <c r="I576" s="6" t="s">
        <v>436</v>
      </c>
      <c r="L576" s="4" t="s">
        <v>24</v>
      </c>
      <c r="M576" s="7">
        <v>41964.0</v>
      </c>
      <c r="N576" s="7">
        <v>78795.0</v>
      </c>
      <c r="O576" s="7">
        <v>4068.0</v>
      </c>
      <c r="P576" s="8"/>
    </row>
    <row r="577" ht="14.25" customHeight="1">
      <c r="A577" s="4" t="s">
        <v>1979</v>
      </c>
      <c r="B577" s="4" t="s">
        <v>1980</v>
      </c>
      <c r="C577" s="4" t="s">
        <v>1979</v>
      </c>
      <c r="D577" s="5">
        <v>236267.0</v>
      </c>
      <c r="E577" s="4" t="s">
        <v>27</v>
      </c>
      <c r="F577" s="4" t="s">
        <v>454</v>
      </c>
      <c r="G577" s="4" t="s">
        <v>1076</v>
      </c>
      <c r="L577" s="4" t="s">
        <v>34</v>
      </c>
      <c r="M577" s="7">
        <v>1952.0</v>
      </c>
      <c r="N577" s="7">
        <v>1785.0</v>
      </c>
      <c r="O577" s="7">
        <v>1162.0</v>
      </c>
      <c r="P577" s="8"/>
    </row>
    <row r="578" ht="14.25" customHeight="1">
      <c r="A578" s="4" t="s">
        <v>1981</v>
      </c>
      <c r="B578" s="4" t="s">
        <v>1982</v>
      </c>
      <c r="C578" s="4" t="s">
        <v>1983</v>
      </c>
      <c r="D578" s="5">
        <v>3503588.0</v>
      </c>
      <c r="E578" s="4" t="s">
        <v>18</v>
      </c>
      <c r="F578" s="4" t="s">
        <v>1984</v>
      </c>
      <c r="G578" s="4" t="s">
        <v>1985</v>
      </c>
      <c r="H578" s="4" t="s">
        <v>352</v>
      </c>
      <c r="I578" s="6" t="s">
        <v>353</v>
      </c>
      <c r="L578" s="4" t="s">
        <v>24</v>
      </c>
      <c r="M578" s="7">
        <v>0.0</v>
      </c>
      <c r="N578" s="7">
        <v>76.0</v>
      </c>
      <c r="O578" s="7">
        <v>0.0</v>
      </c>
      <c r="P578" s="8"/>
    </row>
    <row r="579" ht="14.25" customHeight="1">
      <c r="A579" s="4" t="s">
        <v>1986</v>
      </c>
      <c r="B579" s="4" t="s">
        <v>1987</v>
      </c>
      <c r="C579" s="4" t="s">
        <v>1986</v>
      </c>
      <c r="D579" s="5">
        <v>737442.0</v>
      </c>
      <c r="E579" s="4" t="s">
        <v>27</v>
      </c>
      <c r="F579" s="4" t="s">
        <v>1516</v>
      </c>
      <c r="G579" s="4" t="s">
        <v>1988</v>
      </c>
      <c r="L579" s="4" t="s">
        <v>34</v>
      </c>
      <c r="M579" s="7">
        <v>73.0</v>
      </c>
      <c r="N579" s="7">
        <v>9.0</v>
      </c>
      <c r="O579" s="7">
        <v>55.0</v>
      </c>
      <c r="P579" s="8"/>
    </row>
    <row r="580" ht="14.25" customHeight="1">
      <c r="A580" s="4" t="s">
        <v>1989</v>
      </c>
      <c r="B580" s="4" t="s">
        <v>1990</v>
      </c>
      <c r="C580" s="4" t="s">
        <v>1989</v>
      </c>
      <c r="D580" s="5">
        <v>15364.0</v>
      </c>
      <c r="E580" s="4" t="s">
        <v>43</v>
      </c>
      <c r="F580" s="4" t="s">
        <v>1991</v>
      </c>
      <c r="G580" s="4" t="s">
        <v>555</v>
      </c>
      <c r="L580" s="4" t="s">
        <v>29</v>
      </c>
      <c r="M580" s="7">
        <v>76.0</v>
      </c>
      <c r="N580" s="7">
        <v>6.0</v>
      </c>
      <c r="O580" s="7">
        <v>71.0</v>
      </c>
      <c r="P580" s="8"/>
    </row>
    <row r="581" ht="14.25" customHeight="1">
      <c r="A581" s="4" t="s">
        <v>1992</v>
      </c>
      <c r="B581" s="4" t="s">
        <v>1993</v>
      </c>
      <c r="C581" s="4" t="s">
        <v>1992</v>
      </c>
      <c r="D581" s="5">
        <v>4355739.0</v>
      </c>
      <c r="E581" s="4" t="s">
        <v>27</v>
      </c>
      <c r="F581" s="4" t="s">
        <v>68</v>
      </c>
      <c r="G581" s="4" t="s">
        <v>1076</v>
      </c>
      <c r="L581" s="4" t="s">
        <v>34</v>
      </c>
      <c r="M581" s="7">
        <v>9.0</v>
      </c>
      <c r="N581" s="7">
        <v>26.0</v>
      </c>
      <c r="O581" s="7">
        <v>9.0</v>
      </c>
      <c r="P581" s="8"/>
    </row>
    <row r="582" ht="14.25" customHeight="1">
      <c r="A582" s="4" t="s">
        <v>1994</v>
      </c>
      <c r="B582" s="4" t="s">
        <v>1995</v>
      </c>
      <c r="C582" s="4" t="s">
        <v>1994</v>
      </c>
      <c r="D582" s="5">
        <v>396290.0</v>
      </c>
      <c r="E582" s="4" t="s">
        <v>18</v>
      </c>
      <c r="H582" s="4" t="s">
        <v>1047</v>
      </c>
      <c r="I582" s="6" t="s">
        <v>1048</v>
      </c>
      <c r="L582" s="4" t="s">
        <v>24</v>
      </c>
      <c r="M582" s="7">
        <v>248.0</v>
      </c>
      <c r="N582" s="7">
        <v>77901.0</v>
      </c>
      <c r="O582" s="7">
        <v>114.0</v>
      </c>
      <c r="P582" s="8"/>
    </row>
    <row r="583" ht="14.25" customHeight="1">
      <c r="A583" s="4" t="s">
        <v>1996</v>
      </c>
      <c r="B583" s="4" t="s">
        <v>1997</v>
      </c>
      <c r="D583" s="5">
        <v>1897638.0</v>
      </c>
      <c r="E583" s="6" t="s">
        <v>43</v>
      </c>
      <c r="G583" s="4" t="s">
        <v>888</v>
      </c>
      <c r="H583" s="4" t="s">
        <v>193</v>
      </c>
      <c r="I583" s="6" t="s">
        <v>63</v>
      </c>
      <c r="L583" s="4" t="s">
        <v>34</v>
      </c>
      <c r="M583" s="7">
        <v>96.0</v>
      </c>
      <c r="N583" s="7">
        <v>11.0</v>
      </c>
      <c r="O583" s="7">
        <v>91.0</v>
      </c>
      <c r="P583" s="8"/>
    </row>
    <row r="584" ht="14.25" customHeight="1">
      <c r="A584" s="4" t="s">
        <v>1998</v>
      </c>
      <c r="B584" s="4" t="s">
        <v>1999</v>
      </c>
      <c r="C584" s="4" t="s">
        <v>1998</v>
      </c>
      <c r="D584" s="5">
        <v>5635840.0</v>
      </c>
      <c r="E584" s="4" t="s">
        <v>27</v>
      </c>
      <c r="F584" s="4" t="s">
        <v>189</v>
      </c>
      <c r="G584" s="4" t="s">
        <v>2000</v>
      </c>
      <c r="L584" s="4" t="s">
        <v>34</v>
      </c>
      <c r="M584" s="7">
        <v>4.0</v>
      </c>
      <c r="N584" s="7">
        <v>0.0</v>
      </c>
      <c r="O584" s="7">
        <v>0.0</v>
      </c>
      <c r="P584" s="8"/>
    </row>
    <row r="585" ht="14.25" customHeight="1">
      <c r="A585" s="4" t="s">
        <v>2001</v>
      </c>
      <c r="B585" s="4" t="s">
        <v>2002</v>
      </c>
      <c r="D585" s="5">
        <v>272344.0</v>
      </c>
      <c r="E585" s="4" t="s">
        <v>18</v>
      </c>
      <c r="H585" s="4" t="s">
        <v>213</v>
      </c>
      <c r="I585" s="6" t="s">
        <v>214</v>
      </c>
      <c r="L585" s="4" t="s">
        <v>24</v>
      </c>
      <c r="M585" s="7">
        <v>300.0</v>
      </c>
      <c r="N585" s="7">
        <v>129.0</v>
      </c>
      <c r="O585" s="7">
        <v>212.0</v>
      </c>
      <c r="P585" s="8"/>
    </row>
    <row r="586" ht="14.25" customHeight="1">
      <c r="A586" s="4" t="s">
        <v>2003</v>
      </c>
      <c r="B586" s="4" t="s">
        <v>2004</v>
      </c>
      <c r="C586" s="4" t="s">
        <v>2003</v>
      </c>
      <c r="D586" s="5">
        <v>385423.0</v>
      </c>
      <c r="E586" s="4" t="s">
        <v>18</v>
      </c>
      <c r="H586" s="4" t="s">
        <v>70</v>
      </c>
      <c r="I586" s="6" t="s">
        <v>38</v>
      </c>
      <c r="L586" s="4" t="s">
        <v>24</v>
      </c>
      <c r="M586" s="7">
        <v>1950.0</v>
      </c>
      <c r="N586" s="7">
        <v>5311.0</v>
      </c>
      <c r="O586" s="7">
        <v>467.0</v>
      </c>
      <c r="P586" s="8"/>
    </row>
    <row r="587" ht="14.25" customHeight="1">
      <c r="A587" s="4" t="s">
        <v>2005</v>
      </c>
      <c r="B587" s="4" t="s">
        <v>2006</v>
      </c>
      <c r="D587" s="5">
        <v>3232814.0</v>
      </c>
      <c r="E587" s="4" t="s">
        <v>18</v>
      </c>
      <c r="H587" s="4" t="s">
        <v>315</v>
      </c>
      <c r="I587" s="6" t="s">
        <v>316</v>
      </c>
      <c r="L587" s="4" t="s">
        <v>24</v>
      </c>
      <c r="M587" s="7">
        <v>410.0</v>
      </c>
      <c r="N587" s="7">
        <v>103.0</v>
      </c>
      <c r="O587" s="7">
        <v>322.0</v>
      </c>
      <c r="P587" s="8"/>
    </row>
    <row r="588" ht="14.25" customHeight="1">
      <c r="A588" s="4" t="s">
        <v>2007</v>
      </c>
      <c r="B588" s="4" t="s">
        <v>2008</v>
      </c>
      <c r="C588" s="4" t="s">
        <v>2007</v>
      </c>
      <c r="D588" s="5">
        <v>309352.0</v>
      </c>
      <c r="E588" s="4" t="s">
        <v>27</v>
      </c>
      <c r="F588" s="4" t="s">
        <v>1477</v>
      </c>
      <c r="L588" s="4" t="s">
        <v>29</v>
      </c>
      <c r="M588" s="7">
        <v>46.0</v>
      </c>
      <c r="N588" s="7">
        <v>119.0</v>
      </c>
      <c r="O588" s="7">
        <v>42.0</v>
      </c>
      <c r="P588" s="8"/>
    </row>
    <row r="589" ht="14.25" customHeight="1">
      <c r="A589" s="4" t="s">
        <v>2009</v>
      </c>
      <c r="B589" s="4" t="s">
        <v>2010</v>
      </c>
      <c r="C589" s="4" t="s">
        <v>2009</v>
      </c>
      <c r="D589" s="5">
        <v>486020.0</v>
      </c>
      <c r="E589" s="4" t="s">
        <v>27</v>
      </c>
      <c r="F589" s="4" t="s">
        <v>217</v>
      </c>
      <c r="G589" s="4" t="s">
        <v>2011</v>
      </c>
      <c r="L589" s="4" t="s">
        <v>29</v>
      </c>
      <c r="M589" s="7">
        <v>1969.0</v>
      </c>
      <c r="N589" s="7">
        <v>930.0</v>
      </c>
      <c r="O589" s="7">
        <v>1120.0</v>
      </c>
      <c r="P589" s="8"/>
    </row>
    <row r="590" ht="14.25" customHeight="1">
      <c r="A590" s="4" t="s">
        <v>2012</v>
      </c>
      <c r="B590" s="4" t="s">
        <v>2013</v>
      </c>
      <c r="C590" s="4" t="s">
        <v>2012</v>
      </c>
      <c r="D590" s="5">
        <v>1541905.0</v>
      </c>
      <c r="E590" s="4" t="s">
        <v>27</v>
      </c>
      <c r="F590" s="4" t="s">
        <v>883</v>
      </c>
      <c r="G590" s="4" t="s">
        <v>555</v>
      </c>
      <c r="L590" s="4" t="s">
        <v>34</v>
      </c>
      <c r="M590" s="7">
        <v>23.0</v>
      </c>
      <c r="N590" s="7">
        <v>0.0</v>
      </c>
      <c r="O590" s="7">
        <v>22.0</v>
      </c>
      <c r="P590" s="8"/>
    </row>
    <row r="591" ht="14.25" customHeight="1">
      <c r="A591" s="4" t="s">
        <v>2014</v>
      </c>
      <c r="B591" s="4" t="s">
        <v>2015</v>
      </c>
      <c r="C591" s="4" t="s">
        <v>2014</v>
      </c>
      <c r="D591" s="5">
        <v>679482.0</v>
      </c>
      <c r="E591" s="4" t="s">
        <v>18</v>
      </c>
      <c r="H591" s="6" t="s">
        <v>2016</v>
      </c>
      <c r="I591" s="6" t="s">
        <v>988</v>
      </c>
      <c r="L591" s="4" t="s">
        <v>24</v>
      </c>
      <c r="M591" s="7">
        <v>7474.0</v>
      </c>
      <c r="N591" s="7">
        <v>3544.0</v>
      </c>
      <c r="O591" s="7">
        <v>1686.0</v>
      </c>
      <c r="P591" s="8"/>
    </row>
    <row r="592" ht="14.25" customHeight="1">
      <c r="A592" s="4" t="s">
        <v>2017</v>
      </c>
      <c r="B592" s="4" t="s">
        <v>2018</v>
      </c>
      <c r="C592" s="4" t="s">
        <v>2017</v>
      </c>
      <c r="D592" s="5">
        <v>386641.0</v>
      </c>
      <c r="E592" s="4" t="s">
        <v>18</v>
      </c>
      <c r="F592" s="4" t="s">
        <v>2019</v>
      </c>
      <c r="G592" s="4" t="s">
        <v>2020</v>
      </c>
      <c r="H592" s="4" t="s">
        <v>193</v>
      </c>
      <c r="I592" s="6" t="s">
        <v>63</v>
      </c>
      <c r="L592" s="4" t="s">
        <v>65</v>
      </c>
      <c r="M592" s="7">
        <v>7585.0</v>
      </c>
      <c r="N592" s="7">
        <v>43458.0</v>
      </c>
      <c r="O592" s="7">
        <v>2603.0</v>
      </c>
      <c r="P592" s="8"/>
    </row>
    <row r="593" ht="14.25" customHeight="1">
      <c r="A593" s="4" t="s">
        <v>2021</v>
      </c>
      <c r="B593" s="4" t="s">
        <v>2022</v>
      </c>
      <c r="D593" s="5">
        <v>3251368.0</v>
      </c>
      <c r="E593" s="4" t="s">
        <v>18</v>
      </c>
      <c r="H593" s="4" t="s">
        <v>2023</v>
      </c>
      <c r="I593" s="6" t="s">
        <v>301</v>
      </c>
      <c r="L593" s="4" t="s">
        <v>39</v>
      </c>
      <c r="M593" s="7">
        <v>4.0</v>
      </c>
      <c r="N593" s="7">
        <v>70.0</v>
      </c>
      <c r="O593" s="7">
        <v>4.0</v>
      </c>
      <c r="P593" s="8"/>
    </row>
    <row r="594" ht="14.25" customHeight="1">
      <c r="A594" s="4" t="s">
        <v>2024</v>
      </c>
      <c r="B594" s="4" t="s">
        <v>2025</v>
      </c>
      <c r="C594" s="4" t="s">
        <v>2024</v>
      </c>
      <c r="D594" s="5">
        <v>7651.0</v>
      </c>
      <c r="E594" s="4" t="s">
        <v>27</v>
      </c>
      <c r="F594" s="4" t="s">
        <v>176</v>
      </c>
      <c r="G594" s="4" t="s">
        <v>2026</v>
      </c>
      <c r="L594" s="4" t="s">
        <v>34</v>
      </c>
      <c r="M594" s="7">
        <v>8200.0</v>
      </c>
      <c r="N594" s="7">
        <v>1702.0</v>
      </c>
      <c r="O594" s="7">
        <v>2764.0</v>
      </c>
      <c r="P594" s="8"/>
    </row>
    <row r="595" ht="14.25" customHeight="1">
      <c r="A595" s="4" t="s">
        <v>2027</v>
      </c>
      <c r="B595" s="4" t="s">
        <v>2028</v>
      </c>
      <c r="C595" s="4" t="s">
        <v>2027</v>
      </c>
      <c r="D595" s="5">
        <v>3531271.0</v>
      </c>
      <c r="E595" s="4" t="s">
        <v>27</v>
      </c>
      <c r="F595" s="4" t="s">
        <v>507</v>
      </c>
      <c r="G595" s="4" t="s">
        <v>2029</v>
      </c>
      <c r="L595" s="4" t="s">
        <v>34</v>
      </c>
      <c r="M595" s="7">
        <v>182.0</v>
      </c>
      <c r="N595" s="7">
        <v>0.0</v>
      </c>
      <c r="O595" s="7">
        <v>164.0</v>
      </c>
      <c r="P595" s="8"/>
    </row>
    <row r="596" ht="14.25" customHeight="1">
      <c r="A596" s="4" t="s">
        <v>2030</v>
      </c>
      <c r="B596" s="4" t="s">
        <v>2031</v>
      </c>
      <c r="D596" s="5">
        <v>676132.0</v>
      </c>
      <c r="E596" s="4" t="s">
        <v>18</v>
      </c>
      <c r="F596" s="4" t="s">
        <v>746</v>
      </c>
      <c r="G596" s="4" t="s">
        <v>2032</v>
      </c>
      <c r="H596" s="4" t="s">
        <v>2033</v>
      </c>
      <c r="I596" s="6" t="s">
        <v>126</v>
      </c>
      <c r="L596" s="4" t="s">
        <v>24</v>
      </c>
      <c r="M596" s="7">
        <v>0.0</v>
      </c>
      <c r="N596" s="7">
        <v>11176.0</v>
      </c>
      <c r="O596" s="7">
        <v>0.0</v>
      </c>
      <c r="P596" s="8"/>
    </row>
    <row r="597" ht="14.25" customHeight="1">
      <c r="A597" s="4" t="s">
        <v>2034</v>
      </c>
      <c r="B597" s="4" t="s">
        <v>2035</v>
      </c>
      <c r="C597" s="4" t="s">
        <v>2034</v>
      </c>
      <c r="D597" s="5">
        <v>528275.0</v>
      </c>
      <c r="E597" s="4" t="s">
        <v>18</v>
      </c>
      <c r="H597" s="4" t="s">
        <v>2036</v>
      </c>
      <c r="I597" s="6" t="s">
        <v>1715</v>
      </c>
      <c r="L597" s="4" t="s">
        <v>24</v>
      </c>
      <c r="M597" s="7">
        <v>0.0</v>
      </c>
      <c r="N597" s="7">
        <v>112.0</v>
      </c>
      <c r="O597" s="7">
        <v>0.0</v>
      </c>
      <c r="P597" s="8"/>
    </row>
    <row r="598" ht="14.25" customHeight="1">
      <c r="A598" s="4" t="s">
        <v>2037</v>
      </c>
      <c r="B598" s="4" t="s">
        <v>2038</v>
      </c>
      <c r="C598" s="4" t="s">
        <v>2039</v>
      </c>
      <c r="D598" s="5">
        <v>1473783.0</v>
      </c>
      <c r="E598" s="4" t="s">
        <v>27</v>
      </c>
      <c r="F598" s="4" t="s">
        <v>56</v>
      </c>
      <c r="G598" s="4" t="s">
        <v>2040</v>
      </c>
      <c r="L598" s="4" t="s">
        <v>34</v>
      </c>
      <c r="M598" s="7">
        <v>4.0</v>
      </c>
      <c r="N598" s="7">
        <v>0.0</v>
      </c>
      <c r="O598" s="7">
        <v>2.0</v>
      </c>
      <c r="P598" s="8"/>
    </row>
    <row r="599" ht="14.25" customHeight="1">
      <c r="A599" s="4" t="s">
        <v>2041</v>
      </c>
      <c r="B599" s="4" t="s">
        <v>2042</v>
      </c>
      <c r="C599" s="4" t="s">
        <v>2041</v>
      </c>
      <c r="D599" s="5">
        <v>79906.0</v>
      </c>
      <c r="E599" s="4" t="s">
        <v>27</v>
      </c>
      <c r="F599" s="4" t="s">
        <v>392</v>
      </c>
      <c r="G599" s="4" t="s">
        <v>393</v>
      </c>
      <c r="L599" s="4" t="s">
        <v>34</v>
      </c>
      <c r="M599" s="7">
        <v>0.0</v>
      </c>
      <c r="N599" s="7">
        <v>0.0</v>
      </c>
      <c r="O599" s="7">
        <v>0.0</v>
      </c>
      <c r="P599" s="8"/>
    </row>
    <row r="600" ht="14.25" customHeight="1">
      <c r="A600" s="4" t="s">
        <v>2043</v>
      </c>
      <c r="B600" s="4" t="s">
        <v>2044</v>
      </c>
      <c r="C600" s="4" t="s">
        <v>2043</v>
      </c>
      <c r="D600" s="5">
        <v>2052842.0</v>
      </c>
      <c r="E600" s="4" t="s">
        <v>27</v>
      </c>
      <c r="F600" s="4" t="s">
        <v>176</v>
      </c>
      <c r="L600" s="4" t="s">
        <v>34</v>
      </c>
      <c r="M600" s="7">
        <v>613.0</v>
      </c>
      <c r="N600" s="7">
        <v>9.0</v>
      </c>
      <c r="O600" s="7">
        <v>344.0</v>
      </c>
      <c r="P600" s="8"/>
    </row>
    <row r="601" ht="14.25" customHeight="1">
      <c r="A601" s="4" t="s">
        <v>2045</v>
      </c>
      <c r="B601" s="4" t="s">
        <v>2046</v>
      </c>
      <c r="C601" s="4" t="s">
        <v>2045</v>
      </c>
      <c r="D601" s="5">
        <v>1486838.0</v>
      </c>
      <c r="E601" s="4" t="s">
        <v>27</v>
      </c>
      <c r="F601" s="4" t="s">
        <v>123</v>
      </c>
      <c r="G601" s="4" t="s">
        <v>2047</v>
      </c>
      <c r="L601" s="4" t="s">
        <v>34</v>
      </c>
      <c r="M601" s="7">
        <v>1855.0</v>
      </c>
      <c r="N601" s="7">
        <v>152.0</v>
      </c>
      <c r="O601" s="7">
        <v>1003.0</v>
      </c>
      <c r="P601" s="8"/>
    </row>
    <row r="602" ht="14.25" customHeight="1">
      <c r="A602" s="4" t="s">
        <v>2048</v>
      </c>
      <c r="B602" s="4" t="s">
        <v>2049</v>
      </c>
      <c r="D602" s="5">
        <v>771325.0</v>
      </c>
      <c r="E602" s="4" t="s">
        <v>18</v>
      </c>
      <c r="F602" s="4" t="s">
        <v>2050</v>
      </c>
      <c r="G602" s="4" t="s">
        <v>168</v>
      </c>
      <c r="H602" s="4" t="s">
        <v>1241</v>
      </c>
      <c r="I602" s="6" t="s">
        <v>1242</v>
      </c>
      <c r="L602" s="4" t="s">
        <v>24</v>
      </c>
      <c r="M602" s="7">
        <v>9943.0</v>
      </c>
      <c r="N602" s="7">
        <v>102517.0</v>
      </c>
      <c r="O602" s="7">
        <v>2230.0</v>
      </c>
      <c r="P602" s="8"/>
    </row>
    <row r="603" ht="14.25" customHeight="1">
      <c r="A603" s="4" t="s">
        <v>2051</v>
      </c>
      <c r="B603" s="4" t="s">
        <v>2052</v>
      </c>
      <c r="C603" s="4" t="s">
        <v>2051</v>
      </c>
      <c r="D603" s="5">
        <v>750577.0</v>
      </c>
      <c r="E603" s="4" t="s">
        <v>18</v>
      </c>
      <c r="H603" s="4" t="s">
        <v>1281</v>
      </c>
      <c r="I603" s="6" t="s">
        <v>768</v>
      </c>
      <c r="L603" s="4" t="s">
        <v>24</v>
      </c>
      <c r="M603" s="7">
        <v>751.0</v>
      </c>
      <c r="N603" s="7">
        <v>7570.0</v>
      </c>
      <c r="O603" s="7">
        <v>403.0</v>
      </c>
      <c r="P603" s="8"/>
    </row>
    <row r="604" ht="14.25" customHeight="1">
      <c r="A604" s="4" t="s">
        <v>2053</v>
      </c>
      <c r="B604" s="4" t="s">
        <v>2054</v>
      </c>
      <c r="D604" s="5">
        <v>161591.0</v>
      </c>
      <c r="E604" s="4" t="s">
        <v>18</v>
      </c>
      <c r="G604" s="4" t="s">
        <v>2055</v>
      </c>
      <c r="H604" s="4" t="s">
        <v>146</v>
      </c>
      <c r="I604" s="6" t="s">
        <v>147</v>
      </c>
      <c r="L604" s="4" t="s">
        <v>24</v>
      </c>
      <c r="M604" s="7">
        <v>974.0</v>
      </c>
      <c r="N604" s="7">
        <v>81926.0</v>
      </c>
      <c r="O604" s="7">
        <v>486.0</v>
      </c>
      <c r="P604" s="8"/>
    </row>
    <row r="605" ht="14.25" customHeight="1">
      <c r="A605" s="4" t="s">
        <v>2056</v>
      </c>
      <c r="B605" s="4" t="s">
        <v>2057</v>
      </c>
      <c r="D605" s="5">
        <v>1717202.0</v>
      </c>
      <c r="E605" s="4" t="s">
        <v>18</v>
      </c>
      <c r="H605" s="4" t="s">
        <v>1270</v>
      </c>
      <c r="I605" s="6" t="s">
        <v>1271</v>
      </c>
      <c r="L605" s="4" t="s">
        <v>24</v>
      </c>
      <c r="M605" s="7">
        <v>12422.0</v>
      </c>
      <c r="N605" s="7">
        <v>9573.0</v>
      </c>
      <c r="O605" s="7">
        <v>2282.0</v>
      </c>
      <c r="P605" s="8"/>
    </row>
    <row r="606" ht="14.25" customHeight="1">
      <c r="A606" s="4" t="s">
        <v>2058</v>
      </c>
      <c r="B606" s="6" t="s">
        <v>2059</v>
      </c>
      <c r="C606" s="6" t="s">
        <v>2058</v>
      </c>
      <c r="D606" s="10">
        <v>3894326.0</v>
      </c>
      <c r="E606" s="4" t="s">
        <v>27</v>
      </c>
      <c r="F606" s="4" t="s">
        <v>381</v>
      </c>
      <c r="G606" s="4" t="s">
        <v>2060</v>
      </c>
      <c r="H606" s="6" t="s">
        <v>2061</v>
      </c>
      <c r="I606" s="6" t="s">
        <v>2062</v>
      </c>
      <c r="J606" s="6" t="s">
        <v>2063</v>
      </c>
      <c r="L606" s="6" t="s">
        <v>71</v>
      </c>
      <c r="M606" s="15">
        <v>36.0</v>
      </c>
      <c r="N606" s="15">
        <v>21.0</v>
      </c>
      <c r="O606" s="15">
        <v>21.0</v>
      </c>
      <c r="P606" s="11"/>
    </row>
    <row r="607" ht="14.25" customHeight="1">
      <c r="A607" s="4" t="s">
        <v>2064</v>
      </c>
      <c r="B607" s="4" t="s">
        <v>2065</v>
      </c>
      <c r="D607" s="5">
        <v>17623.0</v>
      </c>
      <c r="E607" s="4" t="s">
        <v>18</v>
      </c>
      <c r="H607" s="4" t="s">
        <v>146</v>
      </c>
      <c r="I607" s="6" t="s">
        <v>147</v>
      </c>
      <c r="L607" s="4" t="s">
        <v>65</v>
      </c>
      <c r="M607" s="7">
        <v>1884.0</v>
      </c>
      <c r="N607" s="7">
        <v>41295.0</v>
      </c>
      <c r="O607" s="7">
        <v>722.0</v>
      </c>
      <c r="P607" s="9" t="s">
        <v>40</v>
      </c>
    </row>
    <row r="608" ht="14.25" customHeight="1">
      <c r="A608" s="4" t="s">
        <v>2066</v>
      </c>
      <c r="B608" s="4" t="s">
        <v>2067</v>
      </c>
      <c r="C608" s="4" t="s">
        <v>2066</v>
      </c>
      <c r="D608" s="5">
        <v>134551.0</v>
      </c>
      <c r="E608" s="4" t="s">
        <v>18</v>
      </c>
      <c r="H608" s="4" t="s">
        <v>2068</v>
      </c>
      <c r="I608" s="6" t="s">
        <v>2069</v>
      </c>
      <c r="L608" s="4" t="s">
        <v>24</v>
      </c>
      <c r="M608" s="7">
        <v>8363.0</v>
      </c>
      <c r="N608" s="7">
        <v>5966.0</v>
      </c>
      <c r="O608" s="7">
        <v>2613.0</v>
      </c>
      <c r="P608" s="9" t="s">
        <v>40</v>
      </c>
    </row>
    <row r="609" ht="14.25" customHeight="1">
      <c r="A609" s="4" t="s">
        <v>2070</v>
      </c>
      <c r="B609" s="4" t="s">
        <v>2071</v>
      </c>
      <c r="C609" s="4" t="s">
        <v>2070</v>
      </c>
      <c r="D609" s="5">
        <v>1283694.0</v>
      </c>
      <c r="E609" s="4" t="s">
        <v>27</v>
      </c>
      <c r="F609" s="4" t="s">
        <v>245</v>
      </c>
      <c r="G609" s="4" t="s">
        <v>246</v>
      </c>
      <c r="L609" s="4" t="s">
        <v>34</v>
      </c>
      <c r="M609" s="7">
        <v>1127.0</v>
      </c>
      <c r="N609" s="7">
        <v>288.0</v>
      </c>
      <c r="O609" s="7">
        <v>623.0</v>
      </c>
      <c r="P609" s="8"/>
    </row>
    <row r="610" ht="14.25" customHeight="1">
      <c r="A610" s="4" t="s">
        <v>2072</v>
      </c>
      <c r="B610" s="4" t="s">
        <v>2073</v>
      </c>
      <c r="C610" s="4" t="s">
        <v>2072</v>
      </c>
      <c r="D610" s="5">
        <v>3908595.0</v>
      </c>
      <c r="E610" s="4" t="s">
        <v>18</v>
      </c>
      <c r="H610" s="6" t="s">
        <v>70</v>
      </c>
      <c r="I610" s="6" t="s">
        <v>38</v>
      </c>
      <c r="L610" s="4" t="s">
        <v>24</v>
      </c>
      <c r="M610" s="7">
        <v>21463.0</v>
      </c>
      <c r="N610" s="7">
        <v>319763.0</v>
      </c>
      <c r="O610" s="7">
        <v>4683.0</v>
      </c>
      <c r="P610" s="9" t="s">
        <v>40</v>
      </c>
    </row>
    <row r="611" ht="14.25" customHeight="1">
      <c r="A611" s="4" t="s">
        <v>2074</v>
      </c>
      <c r="B611" s="4" t="s">
        <v>2075</v>
      </c>
      <c r="C611" s="4" t="s">
        <v>2074</v>
      </c>
      <c r="D611" s="5">
        <v>119300.0</v>
      </c>
      <c r="E611" s="4" t="s">
        <v>43</v>
      </c>
      <c r="F611" s="4" t="s">
        <v>2076</v>
      </c>
      <c r="L611" s="4" t="s">
        <v>29</v>
      </c>
      <c r="M611" s="7">
        <v>419.0</v>
      </c>
      <c r="N611" s="7">
        <v>6.0</v>
      </c>
      <c r="O611" s="7">
        <v>349.0</v>
      </c>
      <c r="P611" s="8"/>
    </row>
    <row r="612" ht="14.25" customHeight="1">
      <c r="A612" s="6" t="s">
        <v>2077</v>
      </c>
      <c r="B612" s="6" t="s">
        <v>2078</v>
      </c>
      <c r="C612" s="6" t="s">
        <v>2079</v>
      </c>
      <c r="D612" s="10">
        <v>3500262.0</v>
      </c>
      <c r="E612" s="6" t="s">
        <v>18</v>
      </c>
      <c r="H612" s="6" t="s">
        <v>2080</v>
      </c>
      <c r="I612" s="6" t="s">
        <v>2081</v>
      </c>
      <c r="L612" s="6" t="s">
        <v>71</v>
      </c>
      <c r="M612" s="7">
        <v>1594.0</v>
      </c>
      <c r="N612" s="7">
        <v>49322.0</v>
      </c>
      <c r="O612" s="7">
        <v>61.0</v>
      </c>
      <c r="P612" s="8"/>
    </row>
    <row r="613" ht="14.25" customHeight="1">
      <c r="A613" s="6" t="s">
        <v>2082</v>
      </c>
      <c r="B613" s="4" t="s">
        <v>2083</v>
      </c>
      <c r="C613" s="4" t="s">
        <v>2082</v>
      </c>
      <c r="D613" s="5">
        <v>450545.0</v>
      </c>
      <c r="E613" s="4" t="s">
        <v>27</v>
      </c>
      <c r="F613" s="4" t="s">
        <v>32</v>
      </c>
      <c r="G613" s="4" t="s">
        <v>2084</v>
      </c>
      <c r="H613" s="4" t="s">
        <v>2085</v>
      </c>
      <c r="I613" s="6" t="s">
        <v>1104</v>
      </c>
      <c r="L613" s="4" t="s">
        <v>34</v>
      </c>
      <c r="M613" s="7">
        <v>20934.0</v>
      </c>
      <c r="N613" s="7">
        <v>19028.0</v>
      </c>
      <c r="O613" s="7">
        <v>4259.0</v>
      </c>
      <c r="P613" s="9" t="s">
        <v>40</v>
      </c>
    </row>
    <row r="614" ht="14.25" customHeight="1">
      <c r="A614" s="4" t="s">
        <v>2086</v>
      </c>
      <c r="B614" s="4" t="s">
        <v>2087</v>
      </c>
      <c r="C614" s="4" t="s">
        <v>2086</v>
      </c>
      <c r="D614" s="5">
        <v>302869.0</v>
      </c>
      <c r="E614" s="4" t="s">
        <v>18</v>
      </c>
      <c r="H614" s="4" t="s">
        <v>315</v>
      </c>
      <c r="I614" s="6" t="s">
        <v>316</v>
      </c>
      <c r="L614" s="4" t="s">
        <v>24</v>
      </c>
      <c r="M614" s="7">
        <v>1764.0</v>
      </c>
      <c r="N614" s="7">
        <v>4442.0</v>
      </c>
      <c r="O614" s="7">
        <v>517.0</v>
      </c>
      <c r="P614" s="8"/>
    </row>
    <row r="615" ht="14.25" customHeight="1">
      <c r="A615" s="4" t="s">
        <v>2088</v>
      </c>
      <c r="B615" s="4" t="s">
        <v>2089</v>
      </c>
      <c r="C615" s="4" t="s">
        <v>2088</v>
      </c>
      <c r="D615" s="5">
        <v>650771.0</v>
      </c>
      <c r="E615" s="4" t="s">
        <v>18</v>
      </c>
      <c r="H615" s="4" t="s">
        <v>141</v>
      </c>
      <c r="I615" s="6" t="s">
        <v>142</v>
      </c>
      <c r="L615" s="4" t="s">
        <v>39</v>
      </c>
      <c r="M615" s="7">
        <v>4364.0</v>
      </c>
      <c r="N615" s="7">
        <v>14557.0</v>
      </c>
      <c r="O615" s="7">
        <v>1381.0</v>
      </c>
      <c r="P615" s="8"/>
    </row>
    <row r="616" ht="14.25" customHeight="1">
      <c r="A616" s="4" t="s">
        <v>2090</v>
      </c>
      <c r="B616" s="4" t="s">
        <v>2091</v>
      </c>
      <c r="C616" s="4" t="s">
        <v>2090</v>
      </c>
      <c r="D616" s="5">
        <v>1336508.0</v>
      </c>
      <c r="E616" s="4" t="s">
        <v>18</v>
      </c>
      <c r="H616" s="4" t="s">
        <v>1873</v>
      </c>
      <c r="I616" s="6" t="s">
        <v>1874</v>
      </c>
      <c r="L616" s="4" t="s">
        <v>65</v>
      </c>
      <c r="M616" s="7">
        <v>1042.0</v>
      </c>
      <c r="N616" s="7">
        <v>15465.0</v>
      </c>
      <c r="O616" s="7">
        <v>315.0</v>
      </c>
      <c r="P616" s="9" t="s">
        <v>40</v>
      </c>
    </row>
    <row r="617" ht="14.25" customHeight="1">
      <c r="A617" s="6" t="s">
        <v>2092</v>
      </c>
      <c r="B617" s="6" t="s">
        <v>2093</v>
      </c>
      <c r="C617" s="6" t="s">
        <v>2093</v>
      </c>
      <c r="D617" s="10">
        <v>3764517.0</v>
      </c>
      <c r="E617" s="6" t="s">
        <v>18</v>
      </c>
      <c r="F617" s="6" t="s">
        <v>1490</v>
      </c>
      <c r="H617" s="6" t="s">
        <v>1491</v>
      </c>
      <c r="I617" s="6" t="s">
        <v>22</v>
      </c>
      <c r="J617" s="6" t="s">
        <v>2094</v>
      </c>
      <c r="L617" s="6" t="s">
        <v>1493</v>
      </c>
      <c r="M617" s="7"/>
      <c r="N617" s="7"/>
      <c r="O617" s="7"/>
      <c r="P617" s="8"/>
    </row>
    <row r="618" ht="14.25" customHeight="1">
      <c r="A618" s="4" t="s">
        <v>2095</v>
      </c>
      <c r="B618" s="4" t="s">
        <v>2096</v>
      </c>
      <c r="C618" s="4" t="s">
        <v>2095</v>
      </c>
      <c r="D618" s="5">
        <v>664057.0</v>
      </c>
      <c r="E618" s="4" t="s">
        <v>18</v>
      </c>
      <c r="H618" s="4" t="s">
        <v>70</v>
      </c>
      <c r="I618" s="6" t="s">
        <v>38</v>
      </c>
      <c r="L618" s="4" t="s">
        <v>24</v>
      </c>
      <c r="M618" s="7">
        <v>70.0</v>
      </c>
      <c r="N618" s="7">
        <v>79.0</v>
      </c>
      <c r="O618" s="7">
        <v>49.0</v>
      </c>
      <c r="P618" s="8"/>
    </row>
    <row r="619" ht="14.25" customHeight="1">
      <c r="A619" s="4" t="s">
        <v>2097</v>
      </c>
      <c r="B619" s="6" t="s">
        <v>2098</v>
      </c>
      <c r="C619" s="6" t="s">
        <v>2099</v>
      </c>
      <c r="D619" s="10">
        <v>597154.0</v>
      </c>
      <c r="E619" s="4" t="s">
        <v>27</v>
      </c>
      <c r="F619" s="4" t="s">
        <v>392</v>
      </c>
      <c r="G619" s="4" t="s">
        <v>168</v>
      </c>
      <c r="H619" s="6" t="s">
        <v>70</v>
      </c>
      <c r="I619" s="6" t="s">
        <v>38</v>
      </c>
      <c r="J619" s="6" t="s">
        <v>2100</v>
      </c>
      <c r="L619" s="4" t="s">
        <v>34</v>
      </c>
      <c r="M619" s="7">
        <v>217.0</v>
      </c>
      <c r="N619" s="7">
        <v>25.0</v>
      </c>
      <c r="O619" s="7">
        <v>178.0</v>
      </c>
      <c r="P619" s="11"/>
    </row>
    <row r="620" ht="14.25" customHeight="1">
      <c r="A620" s="6" t="s">
        <v>2101</v>
      </c>
      <c r="B620" s="6" t="s">
        <v>2102</v>
      </c>
      <c r="C620" s="6" t="s">
        <v>2103</v>
      </c>
      <c r="D620" s="10">
        <v>1020991.0</v>
      </c>
      <c r="E620" s="6" t="s">
        <v>18</v>
      </c>
      <c r="F620" s="6" t="s">
        <v>2104</v>
      </c>
      <c r="G620" s="6" t="s">
        <v>2105</v>
      </c>
      <c r="H620" s="6" t="s">
        <v>2106</v>
      </c>
      <c r="I620" s="6" t="s">
        <v>2107</v>
      </c>
      <c r="J620" s="20" t="s">
        <v>2108</v>
      </c>
      <c r="L620" s="6" t="s">
        <v>2109</v>
      </c>
      <c r="M620" s="12">
        <v>264.0</v>
      </c>
      <c r="N620" s="12">
        <v>180.0</v>
      </c>
      <c r="O620" s="12">
        <v>204.0</v>
      </c>
      <c r="P620" s="8"/>
    </row>
    <row r="621" ht="14.25" customHeight="1">
      <c r="A621" s="4" t="s">
        <v>2110</v>
      </c>
      <c r="B621" s="4" t="s">
        <v>2111</v>
      </c>
      <c r="C621" s="4" t="s">
        <v>2110</v>
      </c>
      <c r="D621" s="5">
        <v>1937.0</v>
      </c>
      <c r="E621" s="4" t="s">
        <v>43</v>
      </c>
      <c r="F621" s="4" t="s">
        <v>2112</v>
      </c>
      <c r="G621" s="4" t="s">
        <v>406</v>
      </c>
      <c r="H621" s="4" t="s">
        <v>2113</v>
      </c>
      <c r="I621" s="6" t="s">
        <v>126</v>
      </c>
      <c r="L621" s="4" t="s">
        <v>24</v>
      </c>
      <c r="M621" s="7">
        <v>1041.0</v>
      </c>
      <c r="N621" s="7">
        <v>1005.0</v>
      </c>
      <c r="O621" s="7">
        <v>527.0</v>
      </c>
      <c r="P621" s="8"/>
    </row>
    <row r="622" ht="14.25" customHeight="1">
      <c r="A622" s="4" t="s">
        <v>2114</v>
      </c>
      <c r="B622" s="4" t="s">
        <v>2115</v>
      </c>
      <c r="C622" s="4" t="s">
        <v>2114</v>
      </c>
      <c r="D622" s="5">
        <v>3577456.0</v>
      </c>
      <c r="E622" s="4" t="s">
        <v>18</v>
      </c>
      <c r="H622" s="4" t="s">
        <v>2116</v>
      </c>
      <c r="I622" s="6" t="s">
        <v>2117</v>
      </c>
      <c r="L622" s="4" t="s">
        <v>24</v>
      </c>
      <c r="M622" s="7">
        <v>1.0</v>
      </c>
      <c r="N622" s="7">
        <v>8416.0</v>
      </c>
      <c r="O622" s="7">
        <v>1.0</v>
      </c>
      <c r="P622" s="8"/>
    </row>
    <row r="623" ht="14.25" customHeight="1">
      <c r="A623" s="4" t="s">
        <v>2118</v>
      </c>
      <c r="B623" s="4" t="s">
        <v>2119</v>
      </c>
      <c r="C623" s="4" t="s">
        <v>2118</v>
      </c>
      <c r="D623" s="5">
        <v>81889.0</v>
      </c>
      <c r="E623" s="4" t="s">
        <v>18</v>
      </c>
      <c r="H623" s="4" t="s">
        <v>2120</v>
      </c>
      <c r="I623" s="6" t="s">
        <v>485</v>
      </c>
      <c r="L623" s="4" t="s">
        <v>39</v>
      </c>
      <c r="M623" s="7">
        <v>1923.0</v>
      </c>
      <c r="N623" s="7">
        <v>15100.0</v>
      </c>
      <c r="O623" s="7">
        <v>994.0</v>
      </c>
      <c r="P623" s="9" t="s">
        <v>40</v>
      </c>
    </row>
    <row r="624" ht="14.25" customHeight="1">
      <c r="A624" s="4" t="s">
        <v>2121</v>
      </c>
      <c r="B624" s="4" t="s">
        <v>2122</v>
      </c>
      <c r="C624" s="4" t="s">
        <v>2121</v>
      </c>
      <c r="D624" s="5">
        <v>3225266.0</v>
      </c>
      <c r="E624" s="4" t="s">
        <v>27</v>
      </c>
      <c r="F624" s="4" t="s">
        <v>356</v>
      </c>
      <c r="G624" s="4" t="s">
        <v>2123</v>
      </c>
      <c r="H624" s="4" t="s">
        <v>70</v>
      </c>
      <c r="I624" s="6" t="s">
        <v>38</v>
      </c>
      <c r="L624" s="4" t="s">
        <v>39</v>
      </c>
      <c r="M624" s="7">
        <v>645.0</v>
      </c>
      <c r="N624" s="7">
        <v>21235.0</v>
      </c>
      <c r="O624" s="7">
        <v>478.0</v>
      </c>
      <c r="P624" s="8"/>
    </row>
    <row r="625" ht="14.25" customHeight="1">
      <c r="A625" s="4" t="s">
        <v>2124</v>
      </c>
      <c r="B625" s="4" t="s">
        <v>2125</v>
      </c>
      <c r="C625" s="4" t="s">
        <v>2124</v>
      </c>
      <c r="D625" s="5">
        <v>230338.0</v>
      </c>
      <c r="E625" s="4" t="s">
        <v>27</v>
      </c>
      <c r="F625" s="4" t="s">
        <v>2126</v>
      </c>
      <c r="G625" s="4" t="s">
        <v>168</v>
      </c>
      <c r="L625" s="4" t="s">
        <v>34</v>
      </c>
      <c r="M625" s="7">
        <v>4.0</v>
      </c>
      <c r="N625" s="7">
        <v>18.0</v>
      </c>
      <c r="O625" s="7">
        <v>4.0</v>
      </c>
      <c r="P625" s="8"/>
    </row>
    <row r="626" ht="14.25" customHeight="1">
      <c r="A626" s="4" t="s">
        <v>2127</v>
      </c>
      <c r="B626" s="4" t="s">
        <v>2128</v>
      </c>
      <c r="C626" s="4" t="s">
        <v>2127</v>
      </c>
      <c r="D626" s="5">
        <v>5559405.0</v>
      </c>
      <c r="E626" s="4" t="s">
        <v>18</v>
      </c>
      <c r="H626" s="6" t="s">
        <v>70</v>
      </c>
      <c r="I626" s="6" t="s">
        <v>38</v>
      </c>
      <c r="L626" s="4" t="s">
        <v>24</v>
      </c>
      <c r="M626" s="7">
        <v>637.0</v>
      </c>
      <c r="N626" s="7">
        <v>0.0</v>
      </c>
      <c r="O626" s="7">
        <v>325.0</v>
      </c>
      <c r="P626" s="8"/>
    </row>
    <row r="627" ht="14.25" customHeight="1">
      <c r="A627" s="6" t="s">
        <v>2129</v>
      </c>
      <c r="B627" s="6" t="s">
        <v>2130</v>
      </c>
      <c r="C627" s="6" t="s">
        <v>2129</v>
      </c>
      <c r="D627" s="10">
        <v>1219753.0</v>
      </c>
      <c r="E627" s="6" t="s">
        <v>18</v>
      </c>
      <c r="H627" s="6" t="s">
        <v>146</v>
      </c>
      <c r="I627" s="6" t="s">
        <v>147</v>
      </c>
      <c r="J627" s="6" t="s">
        <v>2131</v>
      </c>
      <c r="L627" s="6" t="s">
        <v>71</v>
      </c>
      <c r="M627" s="7">
        <v>18.0</v>
      </c>
      <c r="N627" s="7">
        <v>203.0</v>
      </c>
      <c r="O627" s="7">
        <v>13.0</v>
      </c>
      <c r="P627" s="8"/>
    </row>
    <row r="628" ht="14.25" customHeight="1">
      <c r="A628" s="4" t="s">
        <v>2132</v>
      </c>
      <c r="B628" s="4" t="s">
        <v>2133</v>
      </c>
      <c r="C628" s="4" t="s">
        <v>2134</v>
      </c>
      <c r="D628" s="5">
        <v>57863.0</v>
      </c>
      <c r="E628" s="4" t="s">
        <v>18</v>
      </c>
      <c r="G628" s="4" t="s">
        <v>2135</v>
      </c>
      <c r="H628" s="4" t="s">
        <v>193</v>
      </c>
      <c r="I628" s="6" t="s">
        <v>63</v>
      </c>
      <c r="J628" s="4" t="s">
        <v>2136</v>
      </c>
      <c r="L628" s="4" t="s">
        <v>65</v>
      </c>
      <c r="M628" s="7">
        <v>4020.0</v>
      </c>
      <c r="N628" s="7">
        <v>330732.0</v>
      </c>
      <c r="O628" s="7">
        <v>1843.0</v>
      </c>
      <c r="P628" s="9" t="s">
        <v>40</v>
      </c>
    </row>
    <row r="629" ht="14.25" customHeight="1">
      <c r="A629" s="4" t="s">
        <v>2137</v>
      </c>
      <c r="B629" s="4" t="s">
        <v>2138</v>
      </c>
      <c r="C629" s="4" t="s">
        <v>2137</v>
      </c>
      <c r="D629" s="5">
        <v>14389.0</v>
      </c>
      <c r="E629" s="4" t="s">
        <v>18</v>
      </c>
      <c r="H629" s="4" t="s">
        <v>1236</v>
      </c>
      <c r="I629" s="6" t="s">
        <v>294</v>
      </c>
      <c r="L629" s="4" t="s">
        <v>65</v>
      </c>
      <c r="M629" s="7">
        <v>3549.0</v>
      </c>
      <c r="N629" s="7">
        <v>112.0</v>
      </c>
      <c r="O629" s="7">
        <v>1339.0</v>
      </c>
      <c r="P629" s="8"/>
    </row>
    <row r="630" ht="14.25" customHeight="1">
      <c r="A630" s="4" t="s">
        <v>2139</v>
      </c>
      <c r="B630" s="4" t="s">
        <v>2140</v>
      </c>
      <c r="C630" s="4" t="s">
        <v>2139</v>
      </c>
      <c r="D630" s="5">
        <v>3206910.0</v>
      </c>
      <c r="E630" s="4" t="s">
        <v>27</v>
      </c>
      <c r="F630" s="4" t="s">
        <v>1470</v>
      </c>
      <c r="G630" s="4" t="s">
        <v>2141</v>
      </c>
      <c r="L630" s="4" t="s">
        <v>34</v>
      </c>
      <c r="M630" s="7">
        <v>137.0</v>
      </c>
      <c r="N630" s="7">
        <v>0.0</v>
      </c>
      <c r="O630" s="7">
        <v>63.0</v>
      </c>
      <c r="P630" s="8"/>
    </row>
    <row r="631" ht="14.25" customHeight="1">
      <c r="A631" s="4" t="s">
        <v>2142</v>
      </c>
      <c r="B631" s="4" t="s">
        <v>2143</v>
      </c>
      <c r="C631" s="4" t="s">
        <v>2142</v>
      </c>
      <c r="D631" s="5">
        <v>191483.0</v>
      </c>
      <c r="E631" s="4" t="s">
        <v>27</v>
      </c>
      <c r="F631" s="4" t="s">
        <v>79</v>
      </c>
      <c r="G631" s="4" t="s">
        <v>2144</v>
      </c>
      <c r="H631" s="4" t="s">
        <v>1058</v>
      </c>
      <c r="I631" s="6" t="s">
        <v>126</v>
      </c>
      <c r="L631" s="4" t="s">
        <v>34</v>
      </c>
      <c r="M631" s="7">
        <v>6054.0</v>
      </c>
      <c r="N631" s="7">
        <v>131175.0</v>
      </c>
      <c r="O631" s="7">
        <v>2516.0</v>
      </c>
      <c r="P631" s="9" t="s">
        <v>40</v>
      </c>
    </row>
    <row r="632" ht="14.25" customHeight="1">
      <c r="A632" s="4" t="s">
        <v>2145</v>
      </c>
      <c r="B632" s="4" t="s">
        <v>2146</v>
      </c>
      <c r="C632" s="4" t="s">
        <v>2147</v>
      </c>
      <c r="D632" s="5">
        <v>319381.0</v>
      </c>
      <c r="E632" s="4" t="s">
        <v>18</v>
      </c>
      <c r="H632" s="4" t="s">
        <v>2148</v>
      </c>
      <c r="I632" s="6" t="s">
        <v>2149</v>
      </c>
      <c r="L632" s="4" t="s">
        <v>24</v>
      </c>
      <c r="M632" s="7">
        <v>2320.0</v>
      </c>
      <c r="N632" s="7">
        <v>6260.0</v>
      </c>
      <c r="O632" s="7">
        <v>944.0</v>
      </c>
      <c r="P632" s="9" t="s">
        <v>40</v>
      </c>
    </row>
    <row r="633" ht="14.25" customHeight="1">
      <c r="A633" s="4" t="s">
        <v>2150</v>
      </c>
      <c r="B633" s="4" t="s">
        <v>2151</v>
      </c>
      <c r="C633" s="4" t="s">
        <v>2152</v>
      </c>
      <c r="D633" s="5">
        <v>1010661.0</v>
      </c>
      <c r="E633" s="4" t="s">
        <v>43</v>
      </c>
      <c r="L633" s="4" t="s">
        <v>242</v>
      </c>
      <c r="M633" s="7">
        <v>478.0</v>
      </c>
      <c r="N633" s="7">
        <v>0.0</v>
      </c>
      <c r="O633" s="7">
        <v>399.0</v>
      </c>
      <c r="P633" s="8"/>
    </row>
    <row r="634" ht="14.25" customHeight="1">
      <c r="A634" s="4" t="s">
        <v>2153</v>
      </c>
      <c r="B634" s="4" t="s">
        <v>2154</v>
      </c>
      <c r="C634" s="4" t="s">
        <v>2155</v>
      </c>
      <c r="D634" s="5">
        <v>1309897.0</v>
      </c>
      <c r="E634" s="4" t="s">
        <v>18</v>
      </c>
      <c r="H634" s="6" t="s">
        <v>1407</v>
      </c>
      <c r="I634" s="6" t="s">
        <v>38</v>
      </c>
      <c r="J634" s="6" t="s">
        <v>2156</v>
      </c>
      <c r="L634" s="6" t="s">
        <v>53</v>
      </c>
      <c r="M634" s="7">
        <v>49176.0</v>
      </c>
      <c r="N634" s="7">
        <v>319070.0</v>
      </c>
      <c r="O634" s="7">
        <v>3371.0</v>
      </c>
      <c r="P634" s="8"/>
    </row>
    <row r="635" ht="14.25" customHeight="1">
      <c r="A635" s="4" t="s">
        <v>2157</v>
      </c>
      <c r="B635" s="4" t="s">
        <v>2158</v>
      </c>
      <c r="C635" s="4" t="s">
        <v>2157</v>
      </c>
      <c r="D635" s="5">
        <v>966456.0</v>
      </c>
      <c r="E635" s="4" t="s">
        <v>27</v>
      </c>
      <c r="F635" s="4" t="s">
        <v>68</v>
      </c>
      <c r="G635" s="4" t="s">
        <v>1725</v>
      </c>
      <c r="L635" s="4" t="s">
        <v>34</v>
      </c>
      <c r="M635" s="7">
        <v>1868.0</v>
      </c>
      <c r="N635" s="7">
        <v>210.0</v>
      </c>
      <c r="O635" s="7">
        <v>912.0</v>
      </c>
      <c r="P635" s="8"/>
    </row>
    <row r="636" ht="14.25" customHeight="1">
      <c r="A636" s="4" t="s">
        <v>2159</v>
      </c>
      <c r="B636" s="4" t="s">
        <v>2160</v>
      </c>
      <c r="C636" s="4" t="s">
        <v>2159</v>
      </c>
      <c r="D636" s="5">
        <v>170974.0</v>
      </c>
      <c r="E636" s="4" t="s">
        <v>18</v>
      </c>
      <c r="F636" s="4" t="s">
        <v>2161</v>
      </c>
      <c r="G636" s="4" t="s">
        <v>2162</v>
      </c>
      <c r="H636" s="4" t="s">
        <v>2163</v>
      </c>
      <c r="I636" s="6" t="s">
        <v>126</v>
      </c>
      <c r="L636" s="4" t="s">
        <v>24</v>
      </c>
      <c r="M636" s="7">
        <v>8602.0</v>
      </c>
      <c r="N636" s="7">
        <v>7402.0</v>
      </c>
      <c r="O636" s="7">
        <v>2639.0</v>
      </c>
      <c r="P636" s="9" t="s">
        <v>40</v>
      </c>
    </row>
    <row r="637" ht="14.25" customHeight="1">
      <c r="A637" s="6" t="s">
        <v>2164</v>
      </c>
      <c r="B637" s="6" t="s">
        <v>2165</v>
      </c>
      <c r="C637" s="6" t="s">
        <v>2164</v>
      </c>
      <c r="D637" s="10">
        <v>755057.0</v>
      </c>
      <c r="E637" s="6" t="s">
        <v>18</v>
      </c>
      <c r="G637" s="6" t="s">
        <v>2166</v>
      </c>
      <c r="H637" s="6" t="s">
        <v>522</v>
      </c>
      <c r="I637" s="6" t="s">
        <v>523</v>
      </c>
      <c r="J637" s="6" t="s">
        <v>2167</v>
      </c>
      <c r="L637" s="6" t="s">
        <v>71</v>
      </c>
      <c r="M637" s="7">
        <v>449.0</v>
      </c>
      <c r="N637" s="7">
        <v>230.0</v>
      </c>
      <c r="O637" s="7">
        <v>299.0</v>
      </c>
      <c r="P637" s="8"/>
    </row>
    <row r="638" ht="14.25" customHeight="1">
      <c r="A638" s="4" t="s">
        <v>2168</v>
      </c>
      <c r="B638" s="4" t="s">
        <v>2169</v>
      </c>
      <c r="D638" s="5">
        <v>2349924.0</v>
      </c>
      <c r="E638" s="4" t="s">
        <v>27</v>
      </c>
      <c r="F638" s="4" t="s">
        <v>627</v>
      </c>
      <c r="G638" s="4" t="s">
        <v>2170</v>
      </c>
      <c r="L638" s="4" t="s">
        <v>34</v>
      </c>
      <c r="M638" s="7">
        <v>0.0</v>
      </c>
      <c r="N638" s="7">
        <v>0.0</v>
      </c>
      <c r="O638" s="7">
        <v>0.0</v>
      </c>
      <c r="P638" s="8"/>
    </row>
    <row r="639" ht="14.25" customHeight="1">
      <c r="A639" s="4" t="s">
        <v>2171</v>
      </c>
      <c r="B639" s="4" t="s">
        <v>2172</v>
      </c>
      <c r="C639" s="4" t="s">
        <v>2171</v>
      </c>
      <c r="D639" s="5">
        <v>1250819.0</v>
      </c>
      <c r="E639" s="4" t="s">
        <v>27</v>
      </c>
      <c r="F639" s="4" t="s">
        <v>250</v>
      </c>
      <c r="G639" s="4" t="s">
        <v>393</v>
      </c>
      <c r="L639" s="4" t="s">
        <v>34</v>
      </c>
      <c r="M639" s="7">
        <v>2295.0</v>
      </c>
      <c r="N639" s="7">
        <v>1108.0</v>
      </c>
      <c r="O639" s="7">
        <v>815.0</v>
      </c>
      <c r="P639" s="8"/>
    </row>
    <row r="640" ht="14.25" customHeight="1">
      <c r="A640" s="4" t="s">
        <v>2173</v>
      </c>
      <c r="B640" s="4" t="s">
        <v>2174</v>
      </c>
      <c r="C640" s="4" t="s">
        <v>2173</v>
      </c>
      <c r="D640" s="5">
        <v>16824.0</v>
      </c>
      <c r="E640" s="4" t="s">
        <v>27</v>
      </c>
      <c r="F640" s="4" t="s">
        <v>241</v>
      </c>
      <c r="L640" s="4" t="s">
        <v>242</v>
      </c>
      <c r="M640" s="7">
        <v>3.0</v>
      </c>
      <c r="N640" s="7">
        <v>0.0</v>
      </c>
      <c r="O640" s="7">
        <v>2.0</v>
      </c>
      <c r="P640" s="8"/>
    </row>
    <row r="641" ht="14.25" customHeight="1">
      <c r="A641" s="4" t="s">
        <v>2175</v>
      </c>
      <c r="B641" s="4" t="s">
        <v>2176</v>
      </c>
      <c r="C641" s="4" t="s">
        <v>2175</v>
      </c>
      <c r="D641" s="5">
        <v>35006.0</v>
      </c>
      <c r="E641" s="4" t="s">
        <v>27</v>
      </c>
      <c r="F641" s="4" t="s">
        <v>28</v>
      </c>
      <c r="G641" s="4" t="s">
        <v>168</v>
      </c>
      <c r="H641" s="4" t="s">
        <v>70</v>
      </c>
      <c r="I641" s="6" t="s">
        <v>38</v>
      </c>
      <c r="L641" s="4" t="s">
        <v>590</v>
      </c>
      <c r="M641" s="7">
        <v>1962.0</v>
      </c>
      <c r="N641" s="7">
        <v>3484.0</v>
      </c>
      <c r="O641" s="7">
        <v>1014.0</v>
      </c>
      <c r="P641" s="8"/>
    </row>
    <row r="642" ht="14.25" customHeight="1">
      <c r="A642" s="4" t="s">
        <v>2177</v>
      </c>
      <c r="B642" s="4" t="s">
        <v>2178</v>
      </c>
      <c r="C642" s="4" t="s">
        <v>2177</v>
      </c>
      <c r="D642" s="5">
        <v>363777.0</v>
      </c>
      <c r="E642" s="4" t="s">
        <v>27</v>
      </c>
      <c r="F642" s="4" t="s">
        <v>454</v>
      </c>
      <c r="G642" s="4" t="s">
        <v>655</v>
      </c>
      <c r="H642" s="6" t="s">
        <v>70</v>
      </c>
      <c r="I642" s="6" t="s">
        <v>38</v>
      </c>
      <c r="L642" s="4" t="s">
        <v>34</v>
      </c>
      <c r="M642" s="7">
        <v>351.0</v>
      </c>
      <c r="N642" s="7">
        <v>5.0</v>
      </c>
      <c r="O642" s="7">
        <v>186.0</v>
      </c>
      <c r="P642" s="8"/>
    </row>
    <row r="643" ht="14.25" customHeight="1">
      <c r="A643" s="4" t="s">
        <v>2179</v>
      </c>
      <c r="B643" s="4" t="s">
        <v>2180</v>
      </c>
      <c r="C643" s="4" t="s">
        <v>2179</v>
      </c>
      <c r="D643" s="5">
        <v>712654.0</v>
      </c>
      <c r="E643" s="4" t="s">
        <v>18</v>
      </c>
      <c r="H643" s="4" t="s">
        <v>141</v>
      </c>
      <c r="I643" s="6" t="s">
        <v>142</v>
      </c>
      <c r="L643" s="4" t="s">
        <v>39</v>
      </c>
      <c r="M643" s="7">
        <v>7285.0</v>
      </c>
      <c r="N643" s="7">
        <v>19391.0</v>
      </c>
      <c r="O643" s="7">
        <v>2030.0</v>
      </c>
      <c r="P643" s="8"/>
    </row>
    <row r="644" ht="14.25" customHeight="1">
      <c r="A644" s="4" t="s">
        <v>2181</v>
      </c>
      <c r="B644" s="4" t="s">
        <v>2182</v>
      </c>
      <c r="C644" s="4" t="s">
        <v>2181</v>
      </c>
      <c r="D644" s="5">
        <v>3338266.0</v>
      </c>
      <c r="E644" s="4" t="s">
        <v>27</v>
      </c>
      <c r="F644" s="4" t="s">
        <v>19</v>
      </c>
      <c r="G644" s="4" t="s">
        <v>2183</v>
      </c>
      <c r="L644" s="4" t="s">
        <v>34</v>
      </c>
      <c r="M644" s="7">
        <v>188.0</v>
      </c>
      <c r="N644" s="7">
        <v>0.0</v>
      </c>
      <c r="O644" s="7">
        <v>133.0</v>
      </c>
      <c r="P644" s="8"/>
    </row>
    <row r="645" ht="14.25" customHeight="1">
      <c r="A645" s="4" t="s">
        <v>2184</v>
      </c>
      <c r="B645" s="4" t="s">
        <v>2185</v>
      </c>
      <c r="C645" s="4" t="s">
        <v>2184</v>
      </c>
      <c r="D645" s="5">
        <v>1176611.0</v>
      </c>
      <c r="E645" s="4" t="s">
        <v>18</v>
      </c>
      <c r="H645" s="4" t="s">
        <v>70</v>
      </c>
      <c r="I645" s="6" t="s">
        <v>38</v>
      </c>
      <c r="L645" s="4" t="s">
        <v>24</v>
      </c>
      <c r="M645" s="7">
        <v>234.0</v>
      </c>
      <c r="N645" s="7">
        <v>199.0</v>
      </c>
      <c r="O645" s="7">
        <v>153.0</v>
      </c>
      <c r="P645" s="8"/>
    </row>
    <row r="646" ht="14.25" customHeight="1">
      <c r="A646" s="4" t="s">
        <v>2186</v>
      </c>
      <c r="B646" s="4" t="s">
        <v>2187</v>
      </c>
      <c r="C646" s="4" t="s">
        <v>2186</v>
      </c>
      <c r="D646" s="5">
        <v>39660.0</v>
      </c>
      <c r="E646" s="4" t="s">
        <v>18</v>
      </c>
      <c r="H646" s="4" t="s">
        <v>2188</v>
      </c>
      <c r="I646" s="6" t="s">
        <v>294</v>
      </c>
      <c r="J646" s="4" t="s">
        <v>2189</v>
      </c>
      <c r="L646" s="4" t="s">
        <v>378</v>
      </c>
      <c r="M646" s="7">
        <v>118.0</v>
      </c>
      <c r="N646" s="7">
        <v>4959.0</v>
      </c>
      <c r="O646" s="7">
        <v>106.0</v>
      </c>
      <c r="P646" s="9" t="s">
        <v>40</v>
      </c>
    </row>
    <row r="647" ht="14.25" customHeight="1">
      <c r="A647" s="4" t="s">
        <v>2190</v>
      </c>
      <c r="B647" s="4" t="s">
        <v>2191</v>
      </c>
      <c r="D647" s="5">
        <v>1260227.0</v>
      </c>
      <c r="E647" s="4" t="s">
        <v>18</v>
      </c>
      <c r="H647" s="4" t="s">
        <v>606</v>
      </c>
      <c r="I647" s="6" t="s">
        <v>607</v>
      </c>
      <c r="L647" s="4" t="s">
        <v>39</v>
      </c>
      <c r="M647" s="7">
        <v>1815.0</v>
      </c>
      <c r="N647" s="7">
        <v>7.0</v>
      </c>
      <c r="O647" s="7">
        <v>887.0</v>
      </c>
      <c r="P647" s="8"/>
    </row>
    <row r="648" ht="14.25" customHeight="1">
      <c r="A648" s="4" t="s">
        <v>2192</v>
      </c>
      <c r="B648" s="4" t="s">
        <v>2193</v>
      </c>
      <c r="C648" s="4" t="s">
        <v>2192</v>
      </c>
      <c r="D648" s="5">
        <v>55228.0</v>
      </c>
      <c r="E648" s="4" t="s">
        <v>18</v>
      </c>
      <c r="H648" s="4" t="s">
        <v>996</v>
      </c>
      <c r="I648" s="6" t="s">
        <v>997</v>
      </c>
      <c r="L648" s="4" t="s">
        <v>65</v>
      </c>
      <c r="M648" s="7">
        <v>2083.0</v>
      </c>
      <c r="N648" s="7">
        <v>7422.0</v>
      </c>
      <c r="O648" s="7">
        <v>1073.0</v>
      </c>
      <c r="P648" s="9" t="s">
        <v>40</v>
      </c>
    </row>
    <row r="649" ht="14.25" customHeight="1">
      <c r="A649" s="4" t="s">
        <v>2194</v>
      </c>
      <c r="B649" s="4" t="s">
        <v>2195</v>
      </c>
      <c r="C649" s="4" t="s">
        <v>2194</v>
      </c>
      <c r="D649" s="5">
        <v>6798762.0</v>
      </c>
      <c r="E649" s="4" t="s">
        <v>18</v>
      </c>
      <c r="H649" s="4" t="s">
        <v>310</v>
      </c>
      <c r="I649" s="6" t="s">
        <v>22</v>
      </c>
      <c r="L649" s="4" t="s">
        <v>39</v>
      </c>
      <c r="M649" s="7">
        <v>1332.0</v>
      </c>
      <c r="N649" s="7">
        <v>1332.0</v>
      </c>
      <c r="O649" s="7">
        <v>1030.0</v>
      </c>
      <c r="P649" s="8"/>
    </row>
    <row r="650" ht="14.25" customHeight="1">
      <c r="A650" s="4" t="s">
        <v>2196</v>
      </c>
      <c r="B650" s="4" t="s">
        <v>2197</v>
      </c>
      <c r="C650" s="4" t="s">
        <v>2196</v>
      </c>
      <c r="D650" s="5">
        <v>713658.0</v>
      </c>
      <c r="E650" s="4" t="s">
        <v>18</v>
      </c>
      <c r="F650" s="4" t="s">
        <v>2198</v>
      </c>
      <c r="G650" s="4" t="s">
        <v>958</v>
      </c>
      <c r="H650" s="4" t="s">
        <v>2199</v>
      </c>
      <c r="I650" s="6" t="s">
        <v>2200</v>
      </c>
      <c r="J650" s="4" t="s">
        <v>2201</v>
      </c>
      <c r="L650" s="4" t="s">
        <v>65</v>
      </c>
      <c r="M650" s="7">
        <v>8.0</v>
      </c>
      <c r="N650" s="7">
        <v>7460.0</v>
      </c>
      <c r="O650" s="7">
        <v>4.0</v>
      </c>
      <c r="P650" s="8"/>
    </row>
    <row r="651" ht="14.25" customHeight="1">
      <c r="A651" s="6" t="s">
        <v>2202</v>
      </c>
      <c r="B651" s="6" t="s">
        <v>2203</v>
      </c>
      <c r="C651" s="6" t="s">
        <v>2202</v>
      </c>
      <c r="D651" s="10">
        <v>368726.0</v>
      </c>
      <c r="E651" s="6" t="s">
        <v>27</v>
      </c>
      <c r="F651" s="6" t="s">
        <v>2204</v>
      </c>
      <c r="G651" s="6" t="s">
        <v>2205</v>
      </c>
      <c r="H651" s="6" t="s">
        <v>70</v>
      </c>
      <c r="I651" s="6" t="s">
        <v>38</v>
      </c>
      <c r="L651" s="6" t="s">
        <v>71</v>
      </c>
      <c r="M651" s="7">
        <v>0.0</v>
      </c>
      <c r="N651" s="7">
        <v>117.0</v>
      </c>
      <c r="O651" s="7">
        <v>0.0</v>
      </c>
      <c r="P651" s="8"/>
    </row>
    <row r="652" ht="14.25" customHeight="1">
      <c r="A652" s="4" t="s">
        <v>2206</v>
      </c>
      <c r="B652" s="4" t="s">
        <v>2207</v>
      </c>
      <c r="D652" s="5">
        <v>267190.0</v>
      </c>
      <c r="E652" s="4" t="s">
        <v>18</v>
      </c>
      <c r="G652" s="4" t="s">
        <v>2208</v>
      </c>
      <c r="L652" s="4" t="s">
        <v>65</v>
      </c>
      <c r="M652" s="7">
        <v>13826.0</v>
      </c>
      <c r="N652" s="7">
        <v>2367.0</v>
      </c>
      <c r="O652" s="7">
        <v>2598.0</v>
      </c>
      <c r="P652" s="8"/>
    </row>
    <row r="653" ht="14.25" customHeight="1">
      <c r="A653" s="4" t="s">
        <v>2209</v>
      </c>
      <c r="B653" s="4" t="s">
        <v>2210</v>
      </c>
      <c r="D653" s="5">
        <v>1676254.0</v>
      </c>
      <c r="E653" s="4" t="s">
        <v>18</v>
      </c>
      <c r="F653" s="4" t="s">
        <v>2211</v>
      </c>
      <c r="G653" s="4" t="s">
        <v>2212</v>
      </c>
      <c r="H653" s="4" t="s">
        <v>2213</v>
      </c>
      <c r="I653" s="6" t="s">
        <v>997</v>
      </c>
      <c r="L653" s="4" t="s">
        <v>65</v>
      </c>
      <c r="M653" s="7">
        <v>382.0</v>
      </c>
      <c r="N653" s="7">
        <v>8276.0</v>
      </c>
      <c r="O653" s="7">
        <v>216.0</v>
      </c>
      <c r="P653" s="9" t="s">
        <v>40</v>
      </c>
    </row>
    <row r="654" ht="14.25" customHeight="1">
      <c r="A654" s="4" t="s">
        <v>2214</v>
      </c>
      <c r="B654" s="4" t="s">
        <v>2215</v>
      </c>
      <c r="C654" s="4" t="s">
        <v>2214</v>
      </c>
      <c r="D654" s="5">
        <v>1299959.0</v>
      </c>
      <c r="E654" s="4" t="s">
        <v>27</v>
      </c>
      <c r="F654" s="4" t="s">
        <v>241</v>
      </c>
      <c r="G654" s="6" t="s">
        <v>168</v>
      </c>
      <c r="H654" s="6" t="s">
        <v>70</v>
      </c>
      <c r="I654" s="6" t="s">
        <v>38</v>
      </c>
      <c r="L654" s="4" t="s">
        <v>242</v>
      </c>
      <c r="M654" s="7">
        <v>3903.0</v>
      </c>
      <c r="N654" s="7">
        <v>10636.0</v>
      </c>
      <c r="O654" s="7">
        <v>1691.0</v>
      </c>
      <c r="P654" s="8"/>
    </row>
    <row r="655" ht="14.25" customHeight="1">
      <c r="A655" s="4" t="s">
        <v>2216</v>
      </c>
      <c r="B655" s="4" t="s">
        <v>2217</v>
      </c>
      <c r="C655" s="4" t="s">
        <v>2216</v>
      </c>
      <c r="D655" s="5">
        <v>1948932.0</v>
      </c>
      <c r="E655" s="4" t="s">
        <v>18</v>
      </c>
      <c r="H655" s="4" t="s">
        <v>511</v>
      </c>
      <c r="I655" s="6" t="s">
        <v>512</v>
      </c>
      <c r="L655" s="4" t="s">
        <v>24</v>
      </c>
      <c r="M655" s="7">
        <v>5721.0</v>
      </c>
      <c r="N655" s="7">
        <v>55701.0</v>
      </c>
      <c r="O655" s="7">
        <v>1636.0</v>
      </c>
      <c r="P655" s="9" t="s">
        <v>40</v>
      </c>
    </row>
    <row r="656" ht="14.25" customHeight="1">
      <c r="A656" s="4" t="s">
        <v>2218</v>
      </c>
      <c r="B656" s="4" t="s">
        <v>2219</v>
      </c>
      <c r="C656" s="4" t="s">
        <v>2220</v>
      </c>
      <c r="D656" s="5">
        <v>2517145.0</v>
      </c>
      <c r="E656" s="4" t="s">
        <v>18</v>
      </c>
      <c r="H656" s="4" t="s">
        <v>106</v>
      </c>
      <c r="I656" s="6" t="s">
        <v>107</v>
      </c>
      <c r="L656" s="4" t="s">
        <v>65</v>
      </c>
      <c r="M656" s="7">
        <v>4567.0</v>
      </c>
      <c r="N656" s="7">
        <v>118489.0</v>
      </c>
      <c r="O656" s="7">
        <v>2299.0</v>
      </c>
      <c r="P656" s="8"/>
    </row>
    <row r="657" ht="14.25" customHeight="1">
      <c r="A657" s="6" t="s">
        <v>2221</v>
      </c>
      <c r="B657" s="4" t="s">
        <v>2222</v>
      </c>
      <c r="C657" s="4" t="s">
        <v>2221</v>
      </c>
      <c r="D657" s="5">
        <v>468528.0</v>
      </c>
      <c r="E657" s="4" t="s">
        <v>27</v>
      </c>
      <c r="F657" s="4" t="s">
        <v>420</v>
      </c>
      <c r="G657" s="4" t="s">
        <v>2223</v>
      </c>
      <c r="L657" s="4" t="s">
        <v>34</v>
      </c>
      <c r="M657" s="7">
        <v>3560.0</v>
      </c>
      <c r="N657" s="7">
        <v>41.0</v>
      </c>
      <c r="O657" s="7">
        <v>1661.0</v>
      </c>
      <c r="P657" s="8"/>
    </row>
    <row r="658" ht="14.25" customHeight="1">
      <c r="A658" s="6" t="s">
        <v>2224</v>
      </c>
      <c r="B658" s="6" t="s">
        <v>2225</v>
      </c>
      <c r="C658" s="6" t="s">
        <v>2224</v>
      </c>
      <c r="D658" s="10">
        <v>2728215.0</v>
      </c>
      <c r="E658" s="6" t="s">
        <v>18</v>
      </c>
      <c r="H658" s="6" t="s">
        <v>2226</v>
      </c>
      <c r="I658" s="6" t="s">
        <v>2227</v>
      </c>
      <c r="L658" s="6" t="s">
        <v>949</v>
      </c>
      <c r="M658" s="7"/>
      <c r="N658" s="7"/>
      <c r="O658" s="7"/>
      <c r="P658" s="8"/>
    </row>
    <row r="659" ht="14.25" customHeight="1">
      <c r="A659" s="4" t="s">
        <v>2228</v>
      </c>
      <c r="B659" s="4" t="s">
        <v>2229</v>
      </c>
      <c r="C659" s="4" t="s">
        <v>2228</v>
      </c>
      <c r="D659" s="5">
        <v>701875.0</v>
      </c>
      <c r="E659" s="4" t="s">
        <v>18</v>
      </c>
      <c r="H659" s="6" t="s">
        <v>70</v>
      </c>
      <c r="I659" s="6" t="s">
        <v>38</v>
      </c>
      <c r="L659" s="4" t="s">
        <v>24</v>
      </c>
      <c r="M659" s="7">
        <v>725.0</v>
      </c>
      <c r="N659" s="7">
        <v>4579.0</v>
      </c>
      <c r="O659" s="7">
        <v>538.0</v>
      </c>
      <c r="P659" s="8"/>
    </row>
    <row r="660" ht="14.25" customHeight="1">
      <c r="A660" s="4" t="s">
        <v>2230</v>
      </c>
      <c r="B660" s="4" t="s">
        <v>2231</v>
      </c>
      <c r="D660" s="5">
        <v>6926732.0</v>
      </c>
      <c r="E660" s="4" t="s">
        <v>18</v>
      </c>
      <c r="H660" s="4" t="s">
        <v>606</v>
      </c>
      <c r="I660" s="6" t="s">
        <v>607</v>
      </c>
      <c r="L660" s="4" t="s">
        <v>39</v>
      </c>
      <c r="M660" s="7">
        <v>0.0</v>
      </c>
      <c r="N660" s="7">
        <v>9.0</v>
      </c>
      <c r="O660" s="7">
        <v>0.0</v>
      </c>
      <c r="P660" s="8"/>
    </row>
    <row r="661" ht="14.25" customHeight="1">
      <c r="A661" s="4" t="s">
        <v>2232</v>
      </c>
      <c r="B661" s="4" t="s">
        <v>2233</v>
      </c>
      <c r="C661" s="4" t="s">
        <v>2232</v>
      </c>
      <c r="D661" s="5">
        <v>4695593.0</v>
      </c>
      <c r="E661" s="4" t="s">
        <v>18</v>
      </c>
      <c r="H661" s="4" t="s">
        <v>511</v>
      </c>
      <c r="I661" s="6" t="s">
        <v>512</v>
      </c>
      <c r="L661" s="4" t="s">
        <v>24</v>
      </c>
      <c r="M661" s="7">
        <v>4617.0</v>
      </c>
      <c r="N661" s="7">
        <v>144839.0</v>
      </c>
      <c r="O661" s="7">
        <v>3582.0</v>
      </c>
      <c r="P661" s="8"/>
    </row>
    <row r="662" ht="14.25" customHeight="1">
      <c r="A662" s="4" t="s">
        <v>2234</v>
      </c>
      <c r="B662" s="4" t="s">
        <v>2235</v>
      </c>
      <c r="C662" s="4" t="s">
        <v>2234</v>
      </c>
      <c r="D662" s="5">
        <v>586546.0</v>
      </c>
      <c r="E662" s="4" t="s">
        <v>18</v>
      </c>
      <c r="H662" s="6" t="s">
        <v>2236</v>
      </c>
      <c r="I662" s="6" t="s">
        <v>607</v>
      </c>
      <c r="L662" s="4" t="s">
        <v>65</v>
      </c>
      <c r="M662" s="7">
        <v>40590.0</v>
      </c>
      <c r="N662" s="7">
        <v>22446.0</v>
      </c>
      <c r="O662" s="7">
        <v>8356.0</v>
      </c>
      <c r="P662" s="8"/>
    </row>
    <row r="663" ht="14.25" customHeight="1">
      <c r="A663" s="6" t="s">
        <v>2237</v>
      </c>
      <c r="B663" s="6" t="s">
        <v>2238</v>
      </c>
      <c r="C663" s="6" t="s">
        <v>2237</v>
      </c>
      <c r="D663" s="10">
        <v>168545.0</v>
      </c>
      <c r="E663" s="6" t="s">
        <v>18</v>
      </c>
      <c r="H663" s="6" t="s">
        <v>70</v>
      </c>
      <c r="I663" s="6" t="s">
        <v>38</v>
      </c>
      <c r="J663" s="6" t="s">
        <v>2239</v>
      </c>
      <c r="L663" s="6" t="s">
        <v>71</v>
      </c>
      <c r="M663" s="7">
        <v>11642.0</v>
      </c>
      <c r="N663" s="7">
        <v>198701.0</v>
      </c>
      <c r="O663" s="7">
        <v>1589.0</v>
      </c>
      <c r="P663" s="9" t="s">
        <v>40</v>
      </c>
    </row>
    <row r="664" ht="14.25" customHeight="1">
      <c r="A664" s="4" t="s">
        <v>2240</v>
      </c>
      <c r="B664" s="4" t="s">
        <v>2241</v>
      </c>
      <c r="D664" s="5">
        <v>490628.0</v>
      </c>
      <c r="E664" s="4" t="s">
        <v>18</v>
      </c>
      <c r="G664" s="4" t="s">
        <v>958</v>
      </c>
      <c r="H664" s="4" t="s">
        <v>193</v>
      </c>
      <c r="I664" s="6" t="s">
        <v>63</v>
      </c>
      <c r="L664" s="4" t="s">
        <v>24</v>
      </c>
      <c r="M664" s="7">
        <v>1053.0</v>
      </c>
      <c r="N664" s="7">
        <v>3900.0</v>
      </c>
      <c r="O664" s="7">
        <v>721.0</v>
      </c>
      <c r="P664" s="8"/>
    </row>
    <row r="665" ht="14.25" customHeight="1">
      <c r="A665" s="4" t="s">
        <v>2242</v>
      </c>
      <c r="B665" s="4" t="s">
        <v>2243</v>
      </c>
      <c r="C665" s="4" t="s">
        <v>2244</v>
      </c>
      <c r="D665" s="5">
        <v>3145856.0</v>
      </c>
      <c r="E665" s="4" t="s">
        <v>27</v>
      </c>
      <c r="F665" s="4" t="s">
        <v>500</v>
      </c>
      <c r="G665" s="4" t="s">
        <v>2245</v>
      </c>
      <c r="L665" s="4" t="s">
        <v>34</v>
      </c>
      <c r="M665" s="7">
        <v>4.0</v>
      </c>
      <c r="N665" s="7">
        <v>0.0</v>
      </c>
      <c r="O665" s="7">
        <v>3.0</v>
      </c>
      <c r="P665" s="8"/>
    </row>
    <row r="666" ht="14.25" customHeight="1">
      <c r="B666" s="4" t="s">
        <v>2246</v>
      </c>
      <c r="D666" s="5">
        <v>1743320.0</v>
      </c>
      <c r="E666" s="4" t="s">
        <v>18</v>
      </c>
      <c r="H666" s="4" t="s">
        <v>146</v>
      </c>
      <c r="I666" s="6" t="s">
        <v>147</v>
      </c>
      <c r="L666" s="4" t="s">
        <v>2247</v>
      </c>
      <c r="M666" s="7">
        <v>2586.0</v>
      </c>
      <c r="N666" s="7">
        <v>775862.0</v>
      </c>
      <c r="O666" s="7">
        <v>499.0</v>
      </c>
      <c r="P666" s="8"/>
    </row>
    <row r="667" ht="14.25" customHeight="1">
      <c r="A667" s="4" t="s">
        <v>2248</v>
      </c>
      <c r="B667" s="4" t="s">
        <v>2249</v>
      </c>
      <c r="C667" s="4" t="s">
        <v>2248</v>
      </c>
      <c r="D667" s="5">
        <v>3231465.0</v>
      </c>
      <c r="E667" s="4" t="s">
        <v>18</v>
      </c>
      <c r="H667" s="4" t="s">
        <v>968</v>
      </c>
      <c r="I667" s="6" t="s">
        <v>286</v>
      </c>
      <c r="L667" s="4" t="s">
        <v>39</v>
      </c>
      <c r="M667" s="7">
        <v>2059.0</v>
      </c>
      <c r="N667" s="7">
        <v>10141.0</v>
      </c>
      <c r="O667" s="7">
        <v>570.0</v>
      </c>
      <c r="P667" s="8"/>
    </row>
    <row r="668" ht="14.25" customHeight="1">
      <c r="A668" s="4" t="s">
        <v>2250</v>
      </c>
      <c r="B668" s="4" t="s">
        <v>2251</v>
      </c>
      <c r="C668" s="4" t="s">
        <v>2250</v>
      </c>
      <c r="D668" s="5">
        <v>207905.0</v>
      </c>
      <c r="E668" s="4" t="s">
        <v>27</v>
      </c>
      <c r="F668" s="4" t="s">
        <v>392</v>
      </c>
      <c r="G668" s="4" t="s">
        <v>168</v>
      </c>
      <c r="L668" s="4" t="s">
        <v>34</v>
      </c>
      <c r="M668" s="7">
        <v>144.0</v>
      </c>
      <c r="N668" s="7">
        <v>151.0</v>
      </c>
      <c r="O668" s="7">
        <v>106.0</v>
      </c>
      <c r="P668" s="8"/>
    </row>
    <row r="669" ht="14.25" customHeight="1">
      <c r="A669" s="4" t="s">
        <v>2252</v>
      </c>
      <c r="B669" s="4" t="s">
        <v>2253</v>
      </c>
      <c r="C669" s="4" t="s">
        <v>2254</v>
      </c>
      <c r="D669" s="5">
        <v>50920.0</v>
      </c>
      <c r="E669" s="4" t="s">
        <v>18</v>
      </c>
      <c r="H669" s="4" t="s">
        <v>996</v>
      </c>
      <c r="I669" s="6" t="s">
        <v>997</v>
      </c>
      <c r="L669" s="4" t="s">
        <v>65</v>
      </c>
      <c r="M669" s="7">
        <v>138332.0</v>
      </c>
      <c r="N669" s="7">
        <v>150889.0</v>
      </c>
      <c r="O669" s="7">
        <v>5680.0</v>
      </c>
      <c r="P669" s="9" t="s">
        <v>40</v>
      </c>
    </row>
    <row r="670" ht="14.25" customHeight="1">
      <c r="A670" s="4" t="s">
        <v>2255</v>
      </c>
      <c r="B670" s="4" t="s">
        <v>2256</v>
      </c>
      <c r="D670" s="5">
        <v>35757.0</v>
      </c>
      <c r="E670" s="4" t="s">
        <v>27</v>
      </c>
      <c r="F670" s="4" t="s">
        <v>1516</v>
      </c>
      <c r="G670" s="4" t="s">
        <v>594</v>
      </c>
      <c r="H670" s="4" t="s">
        <v>182</v>
      </c>
      <c r="I670" s="6" t="s">
        <v>126</v>
      </c>
      <c r="K670" s="6" t="s">
        <v>2257</v>
      </c>
      <c r="L670" s="4" t="s">
        <v>34</v>
      </c>
      <c r="M670" s="7">
        <v>15075.0</v>
      </c>
      <c r="N670" s="7">
        <v>14724.0</v>
      </c>
      <c r="O670" s="7">
        <v>2318.0</v>
      </c>
      <c r="P670" s="8"/>
    </row>
    <row r="671" ht="14.25" customHeight="1">
      <c r="A671" s="4" t="s">
        <v>2258</v>
      </c>
      <c r="B671" s="4" t="s">
        <v>2259</v>
      </c>
      <c r="D671" s="5">
        <v>456784.0</v>
      </c>
      <c r="E671" s="4" t="s">
        <v>18</v>
      </c>
      <c r="H671" s="4" t="s">
        <v>2260</v>
      </c>
      <c r="I671" s="6" t="s">
        <v>147</v>
      </c>
      <c r="L671" s="4" t="s">
        <v>65</v>
      </c>
      <c r="M671" s="7">
        <v>33.0</v>
      </c>
      <c r="N671" s="7">
        <v>14797.0</v>
      </c>
      <c r="O671" s="7">
        <v>26.0</v>
      </c>
      <c r="P671" s="8"/>
    </row>
    <row r="672" ht="14.25" customHeight="1">
      <c r="A672" s="4" t="s">
        <v>2261</v>
      </c>
      <c r="B672" s="4" t="s">
        <v>2262</v>
      </c>
      <c r="C672" s="4" t="s">
        <v>2261</v>
      </c>
      <c r="D672" s="5">
        <v>443875.0</v>
      </c>
      <c r="E672" s="4" t="s">
        <v>27</v>
      </c>
      <c r="F672" s="4" t="s">
        <v>237</v>
      </c>
      <c r="G672" s="4" t="s">
        <v>2263</v>
      </c>
      <c r="H672" s="6" t="s">
        <v>315</v>
      </c>
      <c r="I672" s="6" t="s">
        <v>316</v>
      </c>
      <c r="J672" s="6" t="s">
        <v>2264</v>
      </c>
      <c r="L672" s="6" t="s">
        <v>71</v>
      </c>
      <c r="M672" s="7">
        <v>6329.0</v>
      </c>
      <c r="N672" s="7">
        <v>5752.0</v>
      </c>
      <c r="O672" s="7">
        <v>1074.0</v>
      </c>
      <c r="P672" s="9" t="s">
        <v>40</v>
      </c>
    </row>
    <row r="673" ht="14.25" customHeight="1">
      <c r="A673" s="4" t="s">
        <v>2265</v>
      </c>
      <c r="B673" s="4" t="s">
        <v>2266</v>
      </c>
      <c r="D673" s="5">
        <v>352565.0</v>
      </c>
      <c r="E673" s="4" t="s">
        <v>27</v>
      </c>
      <c r="F673" s="4" t="s">
        <v>28</v>
      </c>
      <c r="G673" s="4" t="s">
        <v>124</v>
      </c>
      <c r="H673" s="4" t="s">
        <v>70</v>
      </c>
      <c r="I673" s="6" t="s">
        <v>38</v>
      </c>
      <c r="L673" s="4" t="s">
        <v>34</v>
      </c>
      <c r="M673" s="7">
        <v>34.0</v>
      </c>
      <c r="N673" s="7">
        <v>17749.0</v>
      </c>
      <c r="O673" s="7">
        <v>30.0</v>
      </c>
      <c r="P673" s="8"/>
    </row>
    <row r="674" ht="14.25" customHeight="1">
      <c r="A674" s="4" t="s">
        <v>2267</v>
      </c>
      <c r="B674" s="4" t="s">
        <v>2268</v>
      </c>
      <c r="C674" s="4" t="s">
        <v>2267</v>
      </c>
      <c r="D674" s="5">
        <v>1571288.0</v>
      </c>
      <c r="E674" s="4" t="s">
        <v>27</v>
      </c>
      <c r="F674" s="4" t="s">
        <v>1263</v>
      </c>
      <c r="G674" s="4" t="s">
        <v>2269</v>
      </c>
      <c r="L674" s="4" t="s">
        <v>34</v>
      </c>
      <c r="M674" s="7">
        <v>0.0</v>
      </c>
      <c r="N674" s="7">
        <v>0.0</v>
      </c>
      <c r="O674" s="7">
        <v>0.0</v>
      </c>
      <c r="P674" s="8"/>
    </row>
    <row r="675" ht="14.25" customHeight="1">
      <c r="A675" s="4" t="s">
        <v>2270</v>
      </c>
      <c r="B675" s="4" t="s">
        <v>2271</v>
      </c>
      <c r="C675" s="4" t="s">
        <v>2270</v>
      </c>
      <c r="D675" s="5">
        <v>147884.0</v>
      </c>
      <c r="E675" s="4" t="s">
        <v>18</v>
      </c>
      <c r="H675" s="4" t="s">
        <v>2272</v>
      </c>
      <c r="I675" s="6" t="s">
        <v>2273</v>
      </c>
      <c r="L675" s="4" t="s">
        <v>24</v>
      </c>
      <c r="M675" s="7">
        <v>8864.0</v>
      </c>
      <c r="N675" s="7">
        <v>26401.0</v>
      </c>
      <c r="O675" s="7">
        <v>3702.0</v>
      </c>
      <c r="P675" s="9" t="s">
        <v>40</v>
      </c>
    </row>
    <row r="676" ht="14.25" customHeight="1">
      <c r="A676" s="4" t="s">
        <v>2274</v>
      </c>
      <c r="B676" s="4" t="s">
        <v>2275</v>
      </c>
      <c r="C676" s="4" t="s">
        <v>2276</v>
      </c>
      <c r="D676" s="5">
        <v>4881439.0</v>
      </c>
      <c r="E676" s="4" t="s">
        <v>27</v>
      </c>
      <c r="F676" s="4" t="s">
        <v>2126</v>
      </c>
      <c r="G676" s="4" t="s">
        <v>555</v>
      </c>
      <c r="L676" s="4" t="s">
        <v>34</v>
      </c>
      <c r="M676" s="7">
        <v>4.0</v>
      </c>
      <c r="N676" s="7">
        <v>3.0</v>
      </c>
      <c r="O676" s="7">
        <v>4.0</v>
      </c>
      <c r="P676" s="8"/>
    </row>
    <row r="677" ht="14.25" customHeight="1">
      <c r="A677" s="4" t="s">
        <v>2277</v>
      </c>
      <c r="B677" s="4" t="s">
        <v>2278</v>
      </c>
      <c r="C677" s="4" t="s">
        <v>2277</v>
      </c>
      <c r="D677" s="5">
        <v>2789558.0</v>
      </c>
      <c r="E677" s="4" t="s">
        <v>18</v>
      </c>
      <c r="H677" s="4" t="s">
        <v>70</v>
      </c>
      <c r="I677" s="6" t="s">
        <v>38</v>
      </c>
      <c r="L677" s="4" t="s">
        <v>39</v>
      </c>
      <c r="M677" s="7">
        <v>2404.0</v>
      </c>
      <c r="N677" s="7">
        <v>11.0</v>
      </c>
      <c r="O677" s="7">
        <v>1614.0</v>
      </c>
      <c r="P677" s="8"/>
    </row>
    <row r="678" ht="14.25" customHeight="1">
      <c r="A678" s="4" t="s">
        <v>2279</v>
      </c>
      <c r="B678" s="4" t="s">
        <v>2280</v>
      </c>
      <c r="C678" s="4" t="s">
        <v>2279</v>
      </c>
      <c r="D678" s="5">
        <v>739791.0</v>
      </c>
      <c r="E678" s="4" t="s">
        <v>27</v>
      </c>
      <c r="F678" s="4" t="s">
        <v>250</v>
      </c>
      <c r="G678" s="4" t="s">
        <v>2281</v>
      </c>
      <c r="L678" s="4" t="s">
        <v>34</v>
      </c>
      <c r="M678" s="7">
        <v>39.0</v>
      </c>
      <c r="N678" s="7">
        <v>26.0</v>
      </c>
      <c r="O678" s="7">
        <v>33.0</v>
      </c>
      <c r="P678" s="8"/>
    </row>
    <row r="679" ht="14.25" customHeight="1">
      <c r="A679" s="4" t="s">
        <v>2282</v>
      </c>
      <c r="B679" s="4" t="s">
        <v>2283</v>
      </c>
      <c r="C679" s="4" t="s">
        <v>2282</v>
      </c>
      <c r="D679" s="5">
        <v>42635.0</v>
      </c>
      <c r="E679" s="4" t="s">
        <v>27</v>
      </c>
      <c r="F679" s="4" t="s">
        <v>883</v>
      </c>
      <c r="G679" s="4" t="s">
        <v>2284</v>
      </c>
      <c r="L679" s="4" t="s">
        <v>34</v>
      </c>
      <c r="M679" s="7">
        <v>632.0</v>
      </c>
      <c r="N679" s="7">
        <v>3.0</v>
      </c>
      <c r="O679" s="7">
        <v>430.0</v>
      </c>
      <c r="P679" s="8"/>
    </row>
    <row r="680" ht="14.25" customHeight="1">
      <c r="A680" s="4" t="s">
        <v>2285</v>
      </c>
      <c r="B680" s="4" t="s">
        <v>2286</v>
      </c>
      <c r="D680" s="5">
        <v>1066811.0</v>
      </c>
      <c r="E680" s="4" t="s">
        <v>18</v>
      </c>
      <c r="H680" s="4" t="s">
        <v>435</v>
      </c>
      <c r="I680" s="6" t="s">
        <v>436</v>
      </c>
      <c r="L680" s="4" t="s">
        <v>24</v>
      </c>
      <c r="M680" s="7">
        <v>237.0</v>
      </c>
      <c r="N680" s="7">
        <v>606.0</v>
      </c>
      <c r="O680" s="7">
        <v>181.0</v>
      </c>
      <c r="P680" s="8"/>
    </row>
    <row r="681" ht="14.25" customHeight="1">
      <c r="A681" s="4" t="s">
        <v>2287</v>
      </c>
      <c r="B681" s="4" t="s">
        <v>2288</v>
      </c>
      <c r="D681" s="5">
        <v>2076689.0</v>
      </c>
      <c r="E681" s="4" t="s">
        <v>43</v>
      </c>
      <c r="F681" s="4" t="s">
        <v>75</v>
      </c>
      <c r="H681" s="4" t="s">
        <v>310</v>
      </c>
      <c r="I681" s="6" t="s">
        <v>22</v>
      </c>
      <c r="L681" s="4" t="s">
        <v>143</v>
      </c>
      <c r="M681" s="7">
        <v>217.0</v>
      </c>
      <c r="N681" s="7">
        <v>120310.0</v>
      </c>
      <c r="O681" s="7">
        <v>172.0</v>
      </c>
      <c r="P681" s="9" t="s">
        <v>40</v>
      </c>
    </row>
    <row r="682" ht="14.25" customHeight="1">
      <c r="A682" s="4" t="s">
        <v>2289</v>
      </c>
      <c r="B682" s="4" t="s">
        <v>2290</v>
      </c>
      <c r="C682" s="4" t="s">
        <v>2289</v>
      </c>
      <c r="D682" s="5">
        <v>16476.0</v>
      </c>
      <c r="E682" s="4" t="s">
        <v>27</v>
      </c>
      <c r="F682" s="4" t="s">
        <v>623</v>
      </c>
      <c r="G682" s="4" t="s">
        <v>2291</v>
      </c>
      <c r="H682" s="6" t="s">
        <v>70</v>
      </c>
      <c r="I682" s="6" t="s">
        <v>38</v>
      </c>
      <c r="J682" s="6" t="s">
        <v>2292</v>
      </c>
      <c r="L682" s="4" t="s">
        <v>34</v>
      </c>
      <c r="M682" s="7">
        <v>538.0</v>
      </c>
      <c r="N682" s="7">
        <v>1082.0</v>
      </c>
      <c r="O682" s="7">
        <v>376.0</v>
      </c>
      <c r="P682" s="8"/>
    </row>
    <row r="683" ht="14.25" customHeight="1">
      <c r="A683" s="4" t="s">
        <v>2293</v>
      </c>
      <c r="B683" s="4" t="s">
        <v>2294</v>
      </c>
      <c r="D683" s="5">
        <v>920858.0</v>
      </c>
      <c r="E683" s="6" t="s">
        <v>43</v>
      </c>
      <c r="F683" s="4" t="s">
        <v>423</v>
      </c>
      <c r="G683" s="4" t="s">
        <v>2295</v>
      </c>
      <c r="L683" s="4" t="s">
        <v>34</v>
      </c>
      <c r="M683" s="7">
        <v>12296.0</v>
      </c>
      <c r="N683" s="7">
        <v>9455.0</v>
      </c>
      <c r="O683" s="7">
        <v>2761.0</v>
      </c>
      <c r="P683" s="8"/>
    </row>
    <row r="684" ht="14.25" customHeight="1">
      <c r="A684" s="4" t="s">
        <v>2296</v>
      </c>
      <c r="B684" s="4" t="s">
        <v>2297</v>
      </c>
      <c r="C684" s="4" t="s">
        <v>2296</v>
      </c>
      <c r="D684" s="5">
        <v>764897.0</v>
      </c>
      <c r="E684" s="4" t="s">
        <v>18</v>
      </c>
      <c r="H684" s="4" t="s">
        <v>2298</v>
      </c>
      <c r="I684" s="6" t="s">
        <v>2299</v>
      </c>
      <c r="L684" s="4" t="s">
        <v>65</v>
      </c>
      <c r="M684" s="7">
        <v>1761.0</v>
      </c>
      <c r="N684" s="7">
        <v>28699.0</v>
      </c>
      <c r="O684" s="7">
        <v>585.0</v>
      </c>
      <c r="P684" s="9" t="s">
        <v>40</v>
      </c>
    </row>
    <row r="685" ht="14.25" customHeight="1">
      <c r="A685" s="4" t="s">
        <v>2300</v>
      </c>
      <c r="B685" s="4" t="s">
        <v>2301</v>
      </c>
      <c r="D685" s="5">
        <v>506115.0</v>
      </c>
      <c r="E685" s="4" t="s">
        <v>18</v>
      </c>
      <c r="H685" s="4" t="s">
        <v>2302</v>
      </c>
      <c r="I685" s="6" t="s">
        <v>2149</v>
      </c>
      <c r="L685" s="4" t="s">
        <v>39</v>
      </c>
      <c r="M685" s="7">
        <v>0.0</v>
      </c>
      <c r="N685" s="7">
        <v>7.0</v>
      </c>
      <c r="O685" s="7">
        <v>0.0</v>
      </c>
      <c r="P685" s="8"/>
    </row>
    <row r="686" ht="14.25" customHeight="1">
      <c r="A686" s="4" t="s">
        <v>2303</v>
      </c>
      <c r="B686" s="4" t="s">
        <v>2304</v>
      </c>
      <c r="C686" s="4" t="s">
        <v>2303</v>
      </c>
      <c r="D686" s="5">
        <v>219878.0</v>
      </c>
      <c r="E686" s="6" t="s">
        <v>43</v>
      </c>
      <c r="F686" s="6" t="s">
        <v>2305</v>
      </c>
      <c r="G686" s="6" t="s">
        <v>406</v>
      </c>
      <c r="H686" s="6" t="s">
        <v>182</v>
      </c>
      <c r="I686" s="6" t="s">
        <v>126</v>
      </c>
      <c r="L686" s="6" t="s">
        <v>71</v>
      </c>
      <c r="M686" s="7">
        <v>296.0</v>
      </c>
      <c r="N686" s="7">
        <v>334.0</v>
      </c>
      <c r="O686" s="7">
        <v>213.0</v>
      </c>
      <c r="P686" s="8"/>
    </row>
    <row r="687" ht="14.25" customHeight="1">
      <c r="A687" s="4" t="s">
        <v>2306</v>
      </c>
      <c r="B687" s="4" t="s">
        <v>2307</v>
      </c>
      <c r="C687" s="4" t="s">
        <v>2306</v>
      </c>
      <c r="D687" s="5">
        <v>3828670.0</v>
      </c>
      <c r="E687" s="4" t="s">
        <v>27</v>
      </c>
      <c r="F687" s="4" t="s">
        <v>2126</v>
      </c>
      <c r="L687" s="4" t="s">
        <v>29</v>
      </c>
      <c r="M687" s="7">
        <v>71.0</v>
      </c>
      <c r="N687" s="7">
        <v>18.0</v>
      </c>
      <c r="O687" s="7">
        <v>52.0</v>
      </c>
      <c r="P687" s="8"/>
    </row>
    <row r="688" ht="14.25" customHeight="1">
      <c r="A688" s="4" t="s">
        <v>2308</v>
      </c>
      <c r="B688" s="4" t="s">
        <v>2309</v>
      </c>
      <c r="C688" s="4" t="s">
        <v>2308</v>
      </c>
      <c r="D688" s="5">
        <v>2008968.0</v>
      </c>
      <c r="E688" s="4" t="s">
        <v>27</v>
      </c>
      <c r="F688" s="4" t="s">
        <v>75</v>
      </c>
      <c r="G688" s="4" t="s">
        <v>2310</v>
      </c>
      <c r="L688" s="4" t="s">
        <v>34</v>
      </c>
      <c r="M688" s="7">
        <v>21.0</v>
      </c>
      <c r="N688" s="7">
        <v>0.0</v>
      </c>
      <c r="O688" s="7">
        <v>14.0</v>
      </c>
      <c r="P688" s="8"/>
    </row>
    <row r="689" ht="14.25" customHeight="1">
      <c r="A689" s="4" t="s">
        <v>2311</v>
      </c>
      <c r="B689" s="4" t="s">
        <v>2312</v>
      </c>
      <c r="C689" s="4" t="s">
        <v>2311</v>
      </c>
      <c r="D689" s="5">
        <v>3245236.0</v>
      </c>
      <c r="E689" s="4" t="s">
        <v>27</v>
      </c>
      <c r="F689" s="4" t="s">
        <v>1008</v>
      </c>
      <c r="L689" s="4" t="s">
        <v>29</v>
      </c>
      <c r="M689" s="7">
        <v>0.0</v>
      </c>
      <c r="N689" s="7">
        <v>0.0</v>
      </c>
      <c r="O689" s="7">
        <v>0.0</v>
      </c>
      <c r="P689" s="8"/>
    </row>
    <row r="690" ht="14.25" customHeight="1">
      <c r="A690" s="4" t="s">
        <v>2313</v>
      </c>
      <c r="B690" s="4" t="s">
        <v>2314</v>
      </c>
      <c r="C690" s="4" t="s">
        <v>2313</v>
      </c>
      <c r="D690" s="5">
        <v>599007.0</v>
      </c>
      <c r="E690" s="4" t="s">
        <v>18</v>
      </c>
      <c r="F690" s="4" t="s">
        <v>48</v>
      </c>
      <c r="G690" s="4" t="s">
        <v>2315</v>
      </c>
      <c r="H690" s="4" t="s">
        <v>595</v>
      </c>
      <c r="I690" s="6" t="s">
        <v>113</v>
      </c>
      <c r="L690" s="4" t="s">
        <v>53</v>
      </c>
      <c r="M690" s="7">
        <v>3202.0</v>
      </c>
      <c r="N690" s="7">
        <v>2462.0</v>
      </c>
      <c r="O690" s="7">
        <v>1473.0</v>
      </c>
      <c r="P690" s="9" t="s">
        <v>40</v>
      </c>
    </row>
    <row r="691" ht="14.25" customHeight="1">
      <c r="A691" s="4" t="s">
        <v>2316</v>
      </c>
      <c r="B691" s="4" t="s">
        <v>2317</v>
      </c>
      <c r="C691" s="4" t="s">
        <v>2316</v>
      </c>
      <c r="D691" s="5">
        <v>666362.0</v>
      </c>
      <c r="E691" s="4" t="s">
        <v>18</v>
      </c>
      <c r="H691" s="4" t="s">
        <v>1058</v>
      </c>
      <c r="I691" s="6" t="s">
        <v>126</v>
      </c>
      <c r="L691" s="4" t="s">
        <v>24</v>
      </c>
      <c r="M691" s="7">
        <v>7257.0</v>
      </c>
      <c r="N691" s="7">
        <v>5848.0</v>
      </c>
      <c r="O691" s="7">
        <v>3649.0</v>
      </c>
      <c r="P691" s="8"/>
    </row>
    <row r="692" ht="14.25" customHeight="1">
      <c r="A692" s="4" t="s">
        <v>2318</v>
      </c>
      <c r="B692" s="4" t="s">
        <v>2319</v>
      </c>
      <c r="C692" s="4" t="s">
        <v>2318</v>
      </c>
      <c r="D692" s="5">
        <v>934644.0</v>
      </c>
      <c r="E692" s="4" t="s">
        <v>18</v>
      </c>
      <c r="H692" s="4" t="s">
        <v>2148</v>
      </c>
      <c r="I692" s="6" t="s">
        <v>2149</v>
      </c>
      <c r="L692" s="4" t="s">
        <v>24</v>
      </c>
      <c r="M692" s="7">
        <v>3083.0</v>
      </c>
      <c r="N692" s="7">
        <v>2124.0</v>
      </c>
      <c r="O692" s="7">
        <v>566.0</v>
      </c>
      <c r="P692" s="8"/>
    </row>
    <row r="693" ht="14.25" customHeight="1">
      <c r="A693" s="4" t="s">
        <v>2320</v>
      </c>
      <c r="B693" s="4" t="s">
        <v>2321</v>
      </c>
      <c r="D693" s="5">
        <v>1225835.0</v>
      </c>
      <c r="E693" s="4" t="s">
        <v>18</v>
      </c>
      <c r="H693" s="4" t="s">
        <v>310</v>
      </c>
      <c r="I693" s="6" t="s">
        <v>22</v>
      </c>
      <c r="L693" s="4" t="s">
        <v>39</v>
      </c>
      <c r="M693" s="7">
        <v>45.0</v>
      </c>
      <c r="N693" s="7">
        <v>0.0</v>
      </c>
      <c r="O693" s="7">
        <v>39.0</v>
      </c>
      <c r="P693" s="8"/>
    </row>
    <row r="694" ht="14.25" customHeight="1">
      <c r="A694" s="4" t="s">
        <v>2322</v>
      </c>
      <c r="B694" s="4" t="s">
        <v>2323</v>
      </c>
      <c r="C694" s="4" t="s">
        <v>2324</v>
      </c>
      <c r="D694" s="5">
        <v>3440883.0</v>
      </c>
      <c r="E694" s="4" t="s">
        <v>18</v>
      </c>
      <c r="H694" s="4" t="s">
        <v>2325</v>
      </c>
      <c r="I694" s="6" t="s">
        <v>2326</v>
      </c>
      <c r="L694" s="4" t="s">
        <v>65</v>
      </c>
      <c r="M694" s="7">
        <v>27.0</v>
      </c>
      <c r="N694" s="7">
        <v>11072.0</v>
      </c>
      <c r="O694" s="7">
        <v>22.0</v>
      </c>
      <c r="P694" s="8"/>
    </row>
    <row r="695" ht="14.25" customHeight="1">
      <c r="A695" s="4" t="s">
        <v>2327</v>
      </c>
      <c r="B695" s="4" t="s">
        <v>2328</v>
      </c>
      <c r="C695" s="4" t="s">
        <v>2329</v>
      </c>
      <c r="D695" s="5">
        <v>285107.0</v>
      </c>
      <c r="E695" s="4" t="s">
        <v>27</v>
      </c>
      <c r="F695" s="4" t="s">
        <v>250</v>
      </c>
      <c r="G695" s="4" t="s">
        <v>2330</v>
      </c>
      <c r="L695" s="4" t="s">
        <v>34</v>
      </c>
      <c r="M695" s="7">
        <v>8517.0</v>
      </c>
      <c r="N695" s="7">
        <v>1428.0</v>
      </c>
      <c r="O695" s="7">
        <v>2553.0</v>
      </c>
      <c r="P695" s="8"/>
    </row>
    <row r="696" ht="14.25" customHeight="1">
      <c r="A696" s="4" t="s">
        <v>2331</v>
      </c>
      <c r="B696" s="4" t="s">
        <v>2332</v>
      </c>
      <c r="C696" s="4" t="s">
        <v>2331</v>
      </c>
      <c r="D696" s="5">
        <v>3785.0</v>
      </c>
      <c r="E696" s="4" t="s">
        <v>18</v>
      </c>
      <c r="H696" s="4" t="s">
        <v>511</v>
      </c>
      <c r="I696" s="6" t="s">
        <v>512</v>
      </c>
      <c r="J696" s="4" t="s">
        <v>2333</v>
      </c>
      <c r="L696" s="4" t="s">
        <v>378</v>
      </c>
      <c r="M696" s="7">
        <v>26309.0</v>
      </c>
      <c r="N696" s="7">
        <v>103729.0</v>
      </c>
      <c r="O696" s="7">
        <v>5328.0</v>
      </c>
      <c r="P696" s="9" t="s">
        <v>40</v>
      </c>
    </row>
    <row r="697" ht="14.25" customHeight="1">
      <c r="A697" s="4" t="s">
        <v>2334</v>
      </c>
      <c r="B697" s="4" t="s">
        <v>2335</v>
      </c>
      <c r="C697" s="4" t="s">
        <v>2334</v>
      </c>
      <c r="D697" s="5">
        <v>17932.0</v>
      </c>
      <c r="E697" s="4" t="s">
        <v>18</v>
      </c>
      <c r="H697" s="4" t="s">
        <v>536</v>
      </c>
      <c r="I697" s="6" t="s">
        <v>537</v>
      </c>
      <c r="L697" s="4" t="s">
        <v>65</v>
      </c>
      <c r="M697" s="7">
        <v>101622.0</v>
      </c>
      <c r="N697" s="7">
        <v>113313.0</v>
      </c>
      <c r="O697" s="7">
        <v>5672.0</v>
      </c>
      <c r="P697" s="9" t="s">
        <v>40</v>
      </c>
    </row>
    <row r="698" ht="14.25" customHeight="1">
      <c r="A698" s="4" t="s">
        <v>2336</v>
      </c>
      <c r="B698" s="4" t="s">
        <v>2337</v>
      </c>
      <c r="C698" s="4" t="s">
        <v>2336</v>
      </c>
      <c r="D698" s="5">
        <v>2589272.0</v>
      </c>
      <c r="E698" s="4" t="s">
        <v>18</v>
      </c>
      <c r="G698" s="4" t="s">
        <v>2338</v>
      </c>
      <c r="H698" s="4" t="s">
        <v>296</v>
      </c>
      <c r="I698" s="6" t="s">
        <v>294</v>
      </c>
      <c r="L698" s="4" t="s">
        <v>65</v>
      </c>
      <c r="M698" s="7">
        <v>161.0</v>
      </c>
      <c r="N698" s="7">
        <v>35505.0</v>
      </c>
      <c r="O698" s="7">
        <v>130.0</v>
      </c>
      <c r="P698" s="9" t="s">
        <v>40</v>
      </c>
    </row>
    <row r="699" ht="14.25" customHeight="1">
      <c r="A699" s="4" t="s">
        <v>2339</v>
      </c>
      <c r="B699" s="4" t="s">
        <v>2340</v>
      </c>
      <c r="D699" s="5">
        <v>329098.0</v>
      </c>
      <c r="E699" s="4" t="s">
        <v>27</v>
      </c>
      <c r="F699" s="4" t="s">
        <v>428</v>
      </c>
      <c r="G699" s="4" t="s">
        <v>2341</v>
      </c>
      <c r="L699" s="4" t="s">
        <v>34</v>
      </c>
      <c r="M699" s="7">
        <v>0.0</v>
      </c>
      <c r="N699" s="7">
        <v>0.0</v>
      </c>
      <c r="O699" s="7">
        <v>0.0</v>
      </c>
      <c r="P699" s="8"/>
    </row>
    <row r="700" ht="14.25" customHeight="1">
      <c r="A700" s="4" t="s">
        <v>2342</v>
      </c>
      <c r="B700" s="4" t="s">
        <v>2343</v>
      </c>
      <c r="C700" s="4" t="s">
        <v>2342</v>
      </c>
      <c r="D700" s="5">
        <v>1163777.0</v>
      </c>
      <c r="E700" s="4" t="s">
        <v>18</v>
      </c>
      <c r="F700" s="4" t="s">
        <v>2344</v>
      </c>
      <c r="H700" s="4" t="s">
        <v>511</v>
      </c>
      <c r="I700" s="6" t="s">
        <v>512</v>
      </c>
      <c r="L700" s="4" t="s">
        <v>378</v>
      </c>
      <c r="M700" s="7">
        <v>1960.0</v>
      </c>
      <c r="N700" s="7">
        <v>231949.0</v>
      </c>
      <c r="O700" s="7">
        <v>419.0</v>
      </c>
      <c r="P700" s="8"/>
    </row>
    <row r="701" ht="14.25" customHeight="1">
      <c r="A701" s="4" t="s">
        <v>2345</v>
      </c>
      <c r="B701" s="4" t="s">
        <v>2346</v>
      </c>
      <c r="D701" s="5">
        <v>233213.0</v>
      </c>
      <c r="E701" s="4" t="s">
        <v>18</v>
      </c>
      <c r="H701" s="4" t="s">
        <v>2347</v>
      </c>
      <c r="I701" s="6" t="s">
        <v>397</v>
      </c>
      <c r="L701" s="4" t="s">
        <v>65</v>
      </c>
      <c r="M701" s="7">
        <v>1094.0</v>
      </c>
      <c r="N701" s="7">
        <v>17038.0</v>
      </c>
      <c r="O701" s="7">
        <v>782.0</v>
      </c>
      <c r="P701" s="9" t="s">
        <v>40</v>
      </c>
    </row>
    <row r="702" ht="14.25" customHeight="1">
      <c r="A702" s="4" t="s">
        <v>2348</v>
      </c>
      <c r="B702" s="4" t="s">
        <v>2349</v>
      </c>
      <c r="C702" s="4" t="s">
        <v>2350</v>
      </c>
      <c r="D702" s="5">
        <v>1140282.0</v>
      </c>
      <c r="E702" s="4" t="s">
        <v>18</v>
      </c>
      <c r="F702" s="4" t="s">
        <v>2351</v>
      </c>
      <c r="G702" s="4" t="s">
        <v>1235</v>
      </c>
      <c r="H702" s="4" t="s">
        <v>2352</v>
      </c>
      <c r="I702" s="6" t="s">
        <v>512</v>
      </c>
      <c r="L702" s="4" t="s">
        <v>378</v>
      </c>
      <c r="M702" s="7">
        <v>3648.0</v>
      </c>
      <c r="N702" s="7">
        <v>65551.0</v>
      </c>
      <c r="O702" s="7">
        <v>1175.0</v>
      </c>
      <c r="P702" s="8"/>
    </row>
    <row r="703" ht="14.25" customHeight="1">
      <c r="A703" s="4" t="s">
        <v>2353</v>
      </c>
      <c r="B703" s="4" t="s">
        <v>2354</v>
      </c>
      <c r="D703" s="5">
        <v>1039903.0</v>
      </c>
      <c r="E703" s="4" t="s">
        <v>18</v>
      </c>
      <c r="F703" s="4" t="s">
        <v>2161</v>
      </c>
      <c r="G703" s="4" t="s">
        <v>2355</v>
      </c>
      <c r="H703" s="4" t="s">
        <v>595</v>
      </c>
      <c r="I703" s="6" t="s">
        <v>113</v>
      </c>
      <c r="L703" s="4" t="s">
        <v>24</v>
      </c>
      <c r="M703" s="7">
        <v>543.0</v>
      </c>
      <c r="N703" s="7">
        <v>125.0</v>
      </c>
      <c r="O703" s="7">
        <v>360.0</v>
      </c>
      <c r="P703" s="8"/>
    </row>
    <row r="704" ht="14.25" customHeight="1">
      <c r="A704" s="4" t="s">
        <v>2356</v>
      </c>
      <c r="B704" s="4" t="s">
        <v>2357</v>
      </c>
      <c r="C704" s="4" t="s">
        <v>2356</v>
      </c>
      <c r="D704" s="5">
        <v>393144.0</v>
      </c>
      <c r="E704" s="4" t="s">
        <v>18</v>
      </c>
      <c r="H704" s="4" t="s">
        <v>70</v>
      </c>
      <c r="I704" s="6" t="s">
        <v>38</v>
      </c>
      <c r="L704" s="4" t="s">
        <v>24</v>
      </c>
      <c r="M704" s="7">
        <v>451.0</v>
      </c>
      <c r="N704" s="7">
        <v>938.0</v>
      </c>
      <c r="O704" s="7">
        <v>293.0</v>
      </c>
      <c r="P704" s="8"/>
    </row>
    <row r="705" ht="14.25" customHeight="1">
      <c r="A705" s="4" t="s">
        <v>2358</v>
      </c>
      <c r="B705" s="4" t="s">
        <v>2359</v>
      </c>
      <c r="D705" s="5">
        <v>6185818.0</v>
      </c>
      <c r="E705" s="4" t="s">
        <v>18</v>
      </c>
      <c r="H705" s="4" t="s">
        <v>70</v>
      </c>
      <c r="I705" s="6" t="s">
        <v>38</v>
      </c>
      <c r="J705" s="4" t="s">
        <v>646</v>
      </c>
      <c r="L705" s="4" t="s">
        <v>39</v>
      </c>
      <c r="M705" s="7">
        <v>88.0</v>
      </c>
      <c r="N705" s="7">
        <v>10.0</v>
      </c>
      <c r="O705" s="7">
        <v>83.0</v>
      </c>
      <c r="P705" s="8"/>
    </row>
    <row r="706" ht="14.25" customHeight="1">
      <c r="A706" s="4" t="s">
        <v>2360</v>
      </c>
      <c r="B706" s="4" t="s">
        <v>2361</v>
      </c>
      <c r="C706" s="4" t="s">
        <v>2360</v>
      </c>
      <c r="D706" s="5">
        <v>175837.0</v>
      </c>
      <c r="E706" s="4" t="s">
        <v>18</v>
      </c>
      <c r="H706" s="6" t="s">
        <v>70</v>
      </c>
      <c r="I706" s="6" t="s">
        <v>38</v>
      </c>
      <c r="L706" s="4" t="s">
        <v>378</v>
      </c>
      <c r="M706" s="7">
        <v>7384.0</v>
      </c>
      <c r="N706" s="7">
        <v>609907.0</v>
      </c>
      <c r="O706" s="7">
        <v>1019.0</v>
      </c>
      <c r="P706" s="8"/>
    </row>
    <row r="707" ht="14.25" customHeight="1">
      <c r="A707" s="4" t="s">
        <v>2362</v>
      </c>
      <c r="B707" s="4" t="s">
        <v>2363</v>
      </c>
      <c r="C707" s="4" t="s">
        <v>2362</v>
      </c>
      <c r="D707" s="5">
        <v>327611.0</v>
      </c>
      <c r="E707" s="4" t="s">
        <v>27</v>
      </c>
      <c r="F707" s="4" t="s">
        <v>32</v>
      </c>
      <c r="G707" s="4" t="s">
        <v>1018</v>
      </c>
      <c r="L707" s="4" t="s">
        <v>34</v>
      </c>
      <c r="M707" s="7">
        <v>427.0</v>
      </c>
      <c r="N707" s="7">
        <v>31.0</v>
      </c>
      <c r="O707" s="7">
        <v>304.0</v>
      </c>
      <c r="P707" s="8"/>
    </row>
    <row r="708" ht="14.25" customHeight="1">
      <c r="A708" s="4" t="s">
        <v>2364</v>
      </c>
      <c r="B708" s="4" t="s">
        <v>2365</v>
      </c>
      <c r="C708" s="4" t="s">
        <v>2366</v>
      </c>
      <c r="D708" s="5">
        <v>4663516.0</v>
      </c>
      <c r="E708" s="4" t="s">
        <v>27</v>
      </c>
      <c r="F708" s="4" t="s">
        <v>356</v>
      </c>
      <c r="G708" s="4" t="s">
        <v>2367</v>
      </c>
      <c r="L708" s="4" t="s">
        <v>34</v>
      </c>
      <c r="M708" s="7">
        <v>3.0</v>
      </c>
      <c r="N708" s="7">
        <v>0.0</v>
      </c>
      <c r="O708" s="7">
        <v>3.0</v>
      </c>
      <c r="P708" s="8"/>
    </row>
    <row r="709" ht="14.25" customHeight="1">
      <c r="A709" s="4" t="s">
        <v>2368</v>
      </c>
      <c r="B709" s="4" t="s">
        <v>2369</v>
      </c>
      <c r="D709" s="5">
        <v>80315.0</v>
      </c>
      <c r="E709" s="4" t="s">
        <v>27</v>
      </c>
      <c r="F709" s="4" t="s">
        <v>241</v>
      </c>
      <c r="L709" s="4" t="s">
        <v>242</v>
      </c>
      <c r="M709" s="7">
        <v>252.0</v>
      </c>
      <c r="N709" s="7">
        <v>1664.0</v>
      </c>
      <c r="O709" s="7">
        <v>157.0</v>
      </c>
      <c r="P709" s="8"/>
    </row>
    <row r="710" ht="14.25" customHeight="1">
      <c r="A710" s="4" t="s">
        <v>2370</v>
      </c>
      <c r="B710" s="4" t="s">
        <v>2371</v>
      </c>
      <c r="C710" s="4" t="s">
        <v>2370</v>
      </c>
      <c r="D710" s="5">
        <v>62251.0</v>
      </c>
      <c r="E710" s="4" t="s">
        <v>18</v>
      </c>
      <c r="H710" s="4" t="s">
        <v>1873</v>
      </c>
      <c r="I710" s="6" t="s">
        <v>1874</v>
      </c>
      <c r="L710" s="4" t="s">
        <v>24</v>
      </c>
      <c r="M710" s="7">
        <v>4342.0</v>
      </c>
      <c r="N710" s="7">
        <v>2792.0</v>
      </c>
      <c r="O710" s="7">
        <v>1901.0</v>
      </c>
      <c r="P710" s="8"/>
    </row>
    <row r="711" ht="14.25" customHeight="1">
      <c r="A711" s="4" t="s">
        <v>2372</v>
      </c>
      <c r="B711" s="4" t="s">
        <v>2373</v>
      </c>
      <c r="D711" s="5">
        <v>1440786.0</v>
      </c>
      <c r="E711" s="4" t="s">
        <v>18</v>
      </c>
      <c r="G711" s="4" t="s">
        <v>2374</v>
      </c>
      <c r="H711" s="4" t="s">
        <v>396</v>
      </c>
      <c r="I711" s="6" t="s">
        <v>397</v>
      </c>
      <c r="L711" s="4" t="s">
        <v>378</v>
      </c>
      <c r="M711" s="7">
        <v>1549.0</v>
      </c>
      <c r="N711" s="7">
        <v>327027.0</v>
      </c>
      <c r="O711" s="7">
        <v>619.0</v>
      </c>
      <c r="P711" s="9" t="s">
        <v>40</v>
      </c>
    </row>
    <row r="712" ht="14.25" customHeight="1">
      <c r="A712" s="6" t="s">
        <v>2375</v>
      </c>
      <c r="B712" s="6" t="s">
        <v>2376</v>
      </c>
      <c r="C712" s="6" t="s">
        <v>2375</v>
      </c>
      <c r="D712" s="10">
        <v>416993.0</v>
      </c>
      <c r="E712" s="6" t="s">
        <v>18</v>
      </c>
      <c r="H712" s="6" t="s">
        <v>2377</v>
      </c>
      <c r="I712" s="6" t="s">
        <v>22</v>
      </c>
      <c r="J712" s="6" t="s">
        <v>2378</v>
      </c>
      <c r="L712" s="6" t="s">
        <v>71</v>
      </c>
      <c r="M712" s="7">
        <v>24174.0</v>
      </c>
      <c r="N712" s="7">
        <v>26105.0</v>
      </c>
      <c r="O712" s="7">
        <v>2210.0</v>
      </c>
      <c r="P712" s="8"/>
    </row>
    <row r="713" ht="14.25" customHeight="1">
      <c r="A713" s="6" t="s">
        <v>2379</v>
      </c>
      <c r="B713" s="6" t="s">
        <v>2380</v>
      </c>
      <c r="C713" s="6" t="s">
        <v>2379</v>
      </c>
      <c r="D713" s="10">
        <v>178668.0</v>
      </c>
      <c r="E713" s="6" t="s">
        <v>27</v>
      </c>
      <c r="F713" s="6" t="s">
        <v>2204</v>
      </c>
      <c r="G713" s="6" t="s">
        <v>2381</v>
      </c>
      <c r="H713" s="6" t="s">
        <v>70</v>
      </c>
      <c r="I713" s="6" t="s">
        <v>38</v>
      </c>
      <c r="L713" s="6" t="s">
        <v>71</v>
      </c>
      <c r="M713" s="7">
        <v>13301.0</v>
      </c>
      <c r="N713" s="7">
        <v>19563.0</v>
      </c>
      <c r="O713" s="7">
        <v>3706.0</v>
      </c>
      <c r="P713" s="9" t="s">
        <v>40</v>
      </c>
    </row>
    <row r="714" ht="14.25" customHeight="1">
      <c r="A714" s="6" t="s">
        <v>2382</v>
      </c>
      <c r="B714" s="6" t="s">
        <v>2383</v>
      </c>
      <c r="C714" s="6" t="s">
        <v>2382</v>
      </c>
      <c r="D714" s="10">
        <v>472970.0</v>
      </c>
      <c r="E714" s="6" t="s">
        <v>18</v>
      </c>
      <c r="I714" s="6" t="s">
        <v>2384</v>
      </c>
      <c r="L714" s="6" t="s">
        <v>2385</v>
      </c>
      <c r="M714" s="12">
        <v>16881.0</v>
      </c>
      <c r="N714" s="12">
        <v>64423.0</v>
      </c>
      <c r="O714" s="12">
        <v>3413.0</v>
      </c>
      <c r="P714" s="13" t="s">
        <v>40</v>
      </c>
    </row>
    <row r="715" ht="14.25" customHeight="1">
      <c r="A715" s="4" t="s">
        <v>2386</v>
      </c>
      <c r="B715" s="4" t="s">
        <v>2387</v>
      </c>
      <c r="C715" s="4" t="s">
        <v>2388</v>
      </c>
      <c r="D715" s="5">
        <v>105240.0</v>
      </c>
      <c r="E715" s="4" t="s">
        <v>18</v>
      </c>
      <c r="H715" s="4" t="s">
        <v>2389</v>
      </c>
      <c r="I715" s="6" t="s">
        <v>38</v>
      </c>
      <c r="L715" s="4" t="s">
        <v>65</v>
      </c>
      <c r="M715" s="7">
        <v>5640.0</v>
      </c>
      <c r="N715" s="7">
        <v>23689.0</v>
      </c>
      <c r="O715" s="7">
        <v>1915.0</v>
      </c>
      <c r="P715" s="8"/>
    </row>
    <row r="716" ht="14.25" customHeight="1">
      <c r="A716" s="4" t="s">
        <v>2390</v>
      </c>
      <c r="B716" s="4" t="s">
        <v>2391</v>
      </c>
      <c r="C716" s="4" t="s">
        <v>2390</v>
      </c>
      <c r="D716" s="5">
        <v>305.0</v>
      </c>
      <c r="E716" s="4" t="s">
        <v>18</v>
      </c>
      <c r="G716" s="4" t="s">
        <v>958</v>
      </c>
      <c r="H716" s="4" t="s">
        <v>2392</v>
      </c>
      <c r="I716" s="6" t="s">
        <v>353</v>
      </c>
      <c r="J716" s="4" t="s">
        <v>2393</v>
      </c>
      <c r="L716" s="4" t="s">
        <v>65</v>
      </c>
      <c r="M716" s="7">
        <v>445.0</v>
      </c>
      <c r="N716" s="7">
        <v>107249.0</v>
      </c>
      <c r="O716" s="7">
        <v>325.0</v>
      </c>
      <c r="P716" s="9" t="s">
        <v>40</v>
      </c>
    </row>
    <row r="717" ht="14.25" customHeight="1">
      <c r="A717" s="6" t="s">
        <v>2394</v>
      </c>
      <c r="B717" s="6" t="s">
        <v>2395</v>
      </c>
      <c r="C717" s="6" t="s">
        <v>2394</v>
      </c>
      <c r="D717" s="10">
        <v>304104.0</v>
      </c>
      <c r="E717" s="6" t="s">
        <v>27</v>
      </c>
      <c r="F717" s="6" t="s">
        <v>2396</v>
      </c>
      <c r="G717" s="6" t="s">
        <v>168</v>
      </c>
      <c r="H717" s="6" t="s">
        <v>70</v>
      </c>
      <c r="I717" s="6" t="s">
        <v>38</v>
      </c>
      <c r="L717" s="6" t="s">
        <v>71</v>
      </c>
      <c r="M717" s="7">
        <v>1984.0</v>
      </c>
      <c r="N717" s="7">
        <v>38603.0</v>
      </c>
      <c r="O717" s="7">
        <v>1057.0</v>
      </c>
      <c r="P717" s="8"/>
    </row>
    <row r="718" ht="14.25" customHeight="1">
      <c r="A718" s="4" t="s">
        <v>2397</v>
      </c>
      <c r="B718" s="4" t="s">
        <v>2398</v>
      </c>
      <c r="C718" s="4" t="s">
        <v>2397</v>
      </c>
      <c r="D718" s="5">
        <v>444436.0</v>
      </c>
      <c r="E718" s="4" t="s">
        <v>27</v>
      </c>
      <c r="F718" s="4" t="s">
        <v>130</v>
      </c>
      <c r="G718" s="4" t="s">
        <v>2399</v>
      </c>
      <c r="L718" s="4" t="s">
        <v>34</v>
      </c>
      <c r="M718" s="7">
        <v>66.0</v>
      </c>
      <c r="N718" s="7">
        <v>0.0</v>
      </c>
      <c r="O718" s="7">
        <v>54.0</v>
      </c>
      <c r="P718" s="8"/>
    </row>
    <row r="719" ht="14.25" customHeight="1">
      <c r="A719" s="4" t="s">
        <v>2400</v>
      </c>
      <c r="B719" s="4" t="s">
        <v>2401</v>
      </c>
      <c r="D719" s="5">
        <v>260313.0</v>
      </c>
      <c r="E719" s="4" t="s">
        <v>27</v>
      </c>
      <c r="F719" s="4" t="s">
        <v>228</v>
      </c>
      <c r="G719" s="4" t="s">
        <v>2402</v>
      </c>
      <c r="L719" s="4" t="s">
        <v>34</v>
      </c>
      <c r="M719" s="7">
        <v>0.0</v>
      </c>
      <c r="N719" s="7">
        <v>0.0</v>
      </c>
      <c r="O719" s="7">
        <v>0.0</v>
      </c>
      <c r="P719" s="8"/>
    </row>
    <row r="720" ht="14.25" customHeight="1">
      <c r="A720" s="4" t="s">
        <v>2403</v>
      </c>
      <c r="B720" s="4" t="s">
        <v>2404</v>
      </c>
      <c r="C720" s="4" t="s">
        <v>2403</v>
      </c>
      <c r="D720" s="5">
        <v>1349560.0</v>
      </c>
      <c r="E720" s="4" t="s">
        <v>43</v>
      </c>
      <c r="F720" s="4" t="s">
        <v>2405</v>
      </c>
      <c r="G720" s="4" t="s">
        <v>2406</v>
      </c>
      <c r="H720" s="4" t="s">
        <v>70</v>
      </c>
      <c r="I720" s="6" t="s">
        <v>38</v>
      </c>
      <c r="L720" s="4" t="s">
        <v>39</v>
      </c>
      <c r="M720" s="7">
        <v>3005.0</v>
      </c>
      <c r="N720" s="7">
        <v>37938.0</v>
      </c>
      <c r="O720" s="7">
        <v>1722.0</v>
      </c>
      <c r="P720" s="9" t="s">
        <v>40</v>
      </c>
    </row>
    <row r="721" ht="14.25" customHeight="1">
      <c r="A721" s="4" t="s">
        <v>2407</v>
      </c>
      <c r="B721" s="4" t="s">
        <v>2408</v>
      </c>
      <c r="C721" s="4" t="s">
        <v>2407</v>
      </c>
      <c r="D721" s="5">
        <v>438994.0</v>
      </c>
      <c r="E721" s="4" t="s">
        <v>27</v>
      </c>
      <c r="F721" s="4" t="s">
        <v>32</v>
      </c>
      <c r="G721" s="4" t="s">
        <v>2409</v>
      </c>
      <c r="L721" s="4" t="s">
        <v>29</v>
      </c>
      <c r="M721" s="7">
        <v>2607.0</v>
      </c>
      <c r="N721" s="7">
        <v>18747.0</v>
      </c>
      <c r="O721" s="7">
        <v>1076.0</v>
      </c>
      <c r="P721" s="8"/>
    </row>
    <row r="722" ht="14.25" customHeight="1">
      <c r="A722" s="4" t="s">
        <v>2410</v>
      </c>
      <c r="B722" s="4" t="s">
        <v>2411</v>
      </c>
      <c r="C722" s="4" t="s">
        <v>2410</v>
      </c>
      <c r="D722" s="5">
        <v>4026857.0</v>
      </c>
      <c r="E722" s="4" t="s">
        <v>27</v>
      </c>
      <c r="F722" s="4" t="s">
        <v>250</v>
      </c>
      <c r="G722" s="4" t="s">
        <v>888</v>
      </c>
      <c r="L722" s="4" t="s">
        <v>34</v>
      </c>
      <c r="M722" s="7">
        <v>179.0</v>
      </c>
      <c r="N722" s="7">
        <v>96.0</v>
      </c>
      <c r="O722" s="7">
        <v>160.0</v>
      </c>
      <c r="P722" s="8"/>
    </row>
    <row r="723" ht="14.25" customHeight="1">
      <c r="A723" s="6" t="s">
        <v>2412</v>
      </c>
      <c r="B723" s="6" t="s">
        <v>2413</v>
      </c>
      <c r="D723" s="10">
        <v>5416612.0</v>
      </c>
      <c r="E723" s="6" t="s">
        <v>27</v>
      </c>
      <c r="F723" s="6" t="s">
        <v>308</v>
      </c>
      <c r="G723" s="6" t="s">
        <v>2414</v>
      </c>
      <c r="H723" s="6" t="s">
        <v>1907</v>
      </c>
      <c r="I723" s="6" t="s">
        <v>1908</v>
      </c>
      <c r="J723" s="6" t="s">
        <v>2415</v>
      </c>
      <c r="L723" s="6" t="s">
        <v>71</v>
      </c>
      <c r="M723" s="7">
        <v>0.0</v>
      </c>
      <c r="N723" s="7">
        <v>0.0</v>
      </c>
      <c r="O723" s="7">
        <v>0.0</v>
      </c>
      <c r="P723" s="11"/>
    </row>
    <row r="724" ht="14.25" customHeight="1">
      <c r="A724" s="4" t="s">
        <v>2416</v>
      </c>
      <c r="B724" s="6" t="s">
        <v>2417</v>
      </c>
      <c r="D724" s="10">
        <v>567610.0</v>
      </c>
      <c r="E724" s="4" t="s">
        <v>27</v>
      </c>
      <c r="F724" s="4" t="s">
        <v>381</v>
      </c>
      <c r="G724" s="4" t="s">
        <v>2418</v>
      </c>
      <c r="H724" s="21" t="s">
        <v>2419</v>
      </c>
      <c r="I724" s="6" t="s">
        <v>2420</v>
      </c>
      <c r="J724" s="6" t="s">
        <v>2421</v>
      </c>
      <c r="L724" s="6" t="s">
        <v>71</v>
      </c>
      <c r="M724" s="7">
        <v>40.0</v>
      </c>
      <c r="N724" s="7">
        <v>25.0</v>
      </c>
      <c r="O724" s="7">
        <v>37.0</v>
      </c>
      <c r="P724" s="11"/>
    </row>
    <row r="725" ht="14.25" customHeight="1">
      <c r="A725" s="4" t="s">
        <v>2422</v>
      </c>
      <c r="B725" s="4" t="s">
        <v>2423</v>
      </c>
      <c r="C725" s="4" t="s">
        <v>2422</v>
      </c>
      <c r="D725" s="5">
        <v>2629756.0</v>
      </c>
      <c r="E725" s="4" t="s">
        <v>18</v>
      </c>
      <c r="H725" s="4" t="s">
        <v>213</v>
      </c>
      <c r="I725" s="6" t="s">
        <v>214</v>
      </c>
      <c r="L725" s="4" t="s">
        <v>65</v>
      </c>
      <c r="M725" s="7">
        <v>60403.0</v>
      </c>
      <c r="N725" s="7">
        <v>6835.0</v>
      </c>
      <c r="O725" s="7">
        <v>4348.0</v>
      </c>
      <c r="P725" s="8"/>
    </row>
    <row r="726" ht="14.25" customHeight="1">
      <c r="A726" s="4" t="s">
        <v>2424</v>
      </c>
      <c r="B726" s="4" t="s">
        <v>2425</v>
      </c>
      <c r="C726" s="4" t="s">
        <v>2424</v>
      </c>
      <c r="D726" s="5">
        <v>187480.0</v>
      </c>
      <c r="E726" s="4" t="s">
        <v>18</v>
      </c>
      <c r="H726" s="6" t="s">
        <v>70</v>
      </c>
      <c r="I726" s="6" t="s">
        <v>38</v>
      </c>
      <c r="L726" s="4" t="s">
        <v>24</v>
      </c>
      <c r="M726" s="7">
        <v>13452.0</v>
      </c>
      <c r="N726" s="7">
        <v>314564.0</v>
      </c>
      <c r="O726" s="7">
        <v>4080.0</v>
      </c>
      <c r="P726" s="9" t="s">
        <v>40</v>
      </c>
    </row>
    <row r="727" ht="14.25" customHeight="1">
      <c r="A727" s="4" t="s">
        <v>2426</v>
      </c>
      <c r="B727" s="4" t="s">
        <v>2427</v>
      </c>
      <c r="C727" s="4" t="s">
        <v>2426</v>
      </c>
      <c r="D727" s="5">
        <v>261345.0</v>
      </c>
      <c r="E727" s="4" t="s">
        <v>27</v>
      </c>
      <c r="F727" s="4" t="s">
        <v>75</v>
      </c>
      <c r="G727" s="4" t="s">
        <v>2428</v>
      </c>
      <c r="L727" s="4" t="s">
        <v>34</v>
      </c>
      <c r="M727" s="7">
        <v>3532.0</v>
      </c>
      <c r="N727" s="7">
        <v>7312.0</v>
      </c>
      <c r="O727" s="7">
        <v>1579.0</v>
      </c>
      <c r="P727" s="8"/>
    </row>
    <row r="728" ht="14.25" customHeight="1">
      <c r="A728" s="4" t="s">
        <v>2429</v>
      </c>
      <c r="B728" s="4" t="s">
        <v>2430</v>
      </c>
      <c r="C728" s="4" t="s">
        <v>2429</v>
      </c>
      <c r="D728" s="5">
        <v>1065961.0</v>
      </c>
      <c r="E728" s="4" t="s">
        <v>27</v>
      </c>
      <c r="F728" s="4" t="s">
        <v>1516</v>
      </c>
      <c r="G728" s="4" t="s">
        <v>84</v>
      </c>
      <c r="L728" s="4" t="s">
        <v>34</v>
      </c>
      <c r="M728" s="7">
        <v>990.0</v>
      </c>
      <c r="N728" s="7">
        <v>42.0</v>
      </c>
      <c r="O728" s="7">
        <v>539.0</v>
      </c>
      <c r="P728" s="8"/>
    </row>
    <row r="729" ht="14.25" customHeight="1">
      <c r="A729" s="4" t="s">
        <v>2431</v>
      </c>
      <c r="B729" s="4" t="s">
        <v>2432</v>
      </c>
      <c r="C729" s="4" t="s">
        <v>2431</v>
      </c>
      <c r="D729" s="5">
        <v>18327.0</v>
      </c>
      <c r="E729" s="4" t="s">
        <v>18</v>
      </c>
      <c r="H729" s="4" t="s">
        <v>213</v>
      </c>
      <c r="I729" s="6" t="s">
        <v>214</v>
      </c>
      <c r="L729" s="4" t="s">
        <v>65</v>
      </c>
      <c r="M729" s="7">
        <v>28109.0</v>
      </c>
      <c r="N729" s="7">
        <v>18723.0</v>
      </c>
      <c r="O729" s="7">
        <v>6030.0</v>
      </c>
      <c r="P729" s="9" t="s">
        <v>40</v>
      </c>
    </row>
    <row r="730" ht="14.25" customHeight="1">
      <c r="A730" s="4" t="s">
        <v>2433</v>
      </c>
      <c r="B730" s="4" t="s">
        <v>2434</v>
      </c>
      <c r="C730" s="4" t="s">
        <v>2433</v>
      </c>
      <c r="D730" s="5">
        <v>1391825.0</v>
      </c>
      <c r="E730" s="4" t="s">
        <v>18</v>
      </c>
      <c r="H730" s="4" t="s">
        <v>2435</v>
      </c>
      <c r="I730" s="6" t="s">
        <v>113</v>
      </c>
      <c r="L730" s="4" t="s">
        <v>24</v>
      </c>
      <c r="M730" s="7">
        <v>494.0</v>
      </c>
      <c r="N730" s="7">
        <v>118.0</v>
      </c>
      <c r="O730" s="7">
        <v>338.0</v>
      </c>
      <c r="P730" s="8"/>
    </row>
    <row r="731" ht="14.25" customHeight="1">
      <c r="A731" s="4" t="s">
        <v>2436</v>
      </c>
      <c r="B731" s="4" t="s">
        <v>2437</v>
      </c>
      <c r="C731" s="4" t="s">
        <v>2438</v>
      </c>
      <c r="D731" s="5">
        <v>26063.0</v>
      </c>
      <c r="E731" s="4" t="s">
        <v>27</v>
      </c>
      <c r="F731" s="4" t="s">
        <v>623</v>
      </c>
      <c r="G731" s="4" t="s">
        <v>393</v>
      </c>
      <c r="L731" s="4" t="s">
        <v>34</v>
      </c>
      <c r="M731" s="7">
        <v>3261.0</v>
      </c>
      <c r="N731" s="7">
        <v>1240.0</v>
      </c>
      <c r="O731" s="7">
        <v>433.0</v>
      </c>
      <c r="P731" s="8"/>
    </row>
    <row r="732" ht="14.25" customHeight="1">
      <c r="A732" s="6" t="s">
        <v>2439</v>
      </c>
      <c r="B732" s="6" t="s">
        <v>2440</v>
      </c>
      <c r="C732" s="6" t="s">
        <v>2439</v>
      </c>
      <c r="D732" s="10">
        <v>395895.0</v>
      </c>
      <c r="E732" s="6" t="s">
        <v>18</v>
      </c>
      <c r="F732" s="6" t="s">
        <v>775</v>
      </c>
      <c r="G732" s="6" t="s">
        <v>1406</v>
      </c>
      <c r="H732" s="6" t="s">
        <v>2441</v>
      </c>
      <c r="I732" s="6" t="s">
        <v>2442</v>
      </c>
      <c r="J732" s="6" t="s">
        <v>2443</v>
      </c>
      <c r="L732" s="6" t="s">
        <v>71</v>
      </c>
      <c r="M732" s="7">
        <v>98739.0</v>
      </c>
      <c r="N732" s="7">
        <v>141177.0</v>
      </c>
      <c r="O732" s="7">
        <v>11235.0</v>
      </c>
      <c r="P732" s="9" t="s">
        <v>40</v>
      </c>
    </row>
    <row r="733" ht="14.25" customHeight="1">
      <c r="A733" s="4" t="s">
        <v>2444</v>
      </c>
      <c r="B733" s="4" t="s">
        <v>2445</v>
      </c>
      <c r="C733" s="4" t="s">
        <v>2444</v>
      </c>
      <c r="D733" s="5">
        <v>68792.0</v>
      </c>
      <c r="E733" s="4" t="s">
        <v>18</v>
      </c>
      <c r="H733" s="4" t="s">
        <v>213</v>
      </c>
      <c r="I733" s="6" t="s">
        <v>214</v>
      </c>
      <c r="L733" s="4" t="s">
        <v>65</v>
      </c>
      <c r="M733" s="7">
        <v>1570.0</v>
      </c>
      <c r="N733" s="7">
        <v>3857.0</v>
      </c>
      <c r="O733" s="7">
        <v>474.0</v>
      </c>
      <c r="P733" s="8"/>
    </row>
    <row r="734" ht="14.25" customHeight="1">
      <c r="A734" s="4" t="s">
        <v>2446</v>
      </c>
      <c r="B734" s="4" t="s">
        <v>2447</v>
      </c>
      <c r="C734" s="4" t="s">
        <v>2446</v>
      </c>
      <c r="D734" s="5">
        <v>443199.0</v>
      </c>
      <c r="E734" s="4" t="s">
        <v>18</v>
      </c>
      <c r="H734" s="4" t="s">
        <v>852</v>
      </c>
      <c r="I734" s="6" t="s">
        <v>853</v>
      </c>
      <c r="L734" s="4" t="s">
        <v>65</v>
      </c>
      <c r="M734" s="7">
        <v>892.0</v>
      </c>
      <c r="N734" s="7">
        <v>24009.0</v>
      </c>
      <c r="O734" s="7">
        <v>760.0</v>
      </c>
      <c r="P734" s="9" t="s">
        <v>40</v>
      </c>
    </row>
    <row r="735" ht="14.25" customHeight="1">
      <c r="A735" s="4" t="s">
        <v>2448</v>
      </c>
      <c r="B735" s="4" t="s">
        <v>2449</v>
      </c>
      <c r="C735" s="4" t="s">
        <v>2448</v>
      </c>
      <c r="D735" s="5">
        <v>7311099.0</v>
      </c>
      <c r="E735" s="4" t="s">
        <v>27</v>
      </c>
      <c r="F735" s="4" t="s">
        <v>638</v>
      </c>
      <c r="G735" s="4" t="s">
        <v>393</v>
      </c>
      <c r="L735" s="4" t="s">
        <v>34</v>
      </c>
      <c r="M735" s="7">
        <v>0.0</v>
      </c>
      <c r="N735" s="7">
        <v>0.0</v>
      </c>
      <c r="O735" s="7">
        <v>0.0</v>
      </c>
      <c r="P735" s="8"/>
    </row>
    <row r="736" ht="14.25" customHeight="1">
      <c r="A736" s="4" t="s">
        <v>2450</v>
      </c>
      <c r="B736" s="4" t="s">
        <v>2451</v>
      </c>
      <c r="C736" s="4" t="s">
        <v>2450</v>
      </c>
      <c r="D736" s="5">
        <v>3322057.0</v>
      </c>
      <c r="E736" s="4" t="s">
        <v>27</v>
      </c>
      <c r="F736" s="4" t="s">
        <v>189</v>
      </c>
      <c r="G736" s="4" t="s">
        <v>1480</v>
      </c>
      <c r="L736" s="4" t="s">
        <v>34</v>
      </c>
      <c r="M736" s="7">
        <v>1369.0</v>
      </c>
      <c r="N736" s="7">
        <v>14.0</v>
      </c>
      <c r="O736" s="7">
        <v>757.0</v>
      </c>
      <c r="P736" s="8"/>
    </row>
    <row r="737" ht="14.25" customHeight="1">
      <c r="A737" s="4" t="s">
        <v>2452</v>
      </c>
      <c r="B737" s="4" t="s">
        <v>2453</v>
      </c>
      <c r="C737" s="4" t="s">
        <v>2454</v>
      </c>
      <c r="D737" s="5">
        <v>46628.0</v>
      </c>
      <c r="E737" s="4" t="s">
        <v>27</v>
      </c>
      <c r="F737" s="4" t="s">
        <v>68</v>
      </c>
      <c r="G737" s="4" t="s">
        <v>2455</v>
      </c>
      <c r="L737" s="4" t="s">
        <v>34</v>
      </c>
      <c r="M737" s="7">
        <v>3270.0</v>
      </c>
      <c r="N737" s="7">
        <v>9914.0</v>
      </c>
      <c r="O737" s="7">
        <v>1492.0</v>
      </c>
      <c r="P737" s="9" t="s">
        <v>40</v>
      </c>
    </row>
    <row r="738" ht="14.25" customHeight="1">
      <c r="A738" s="4" t="s">
        <v>2456</v>
      </c>
      <c r="B738" s="4" t="s">
        <v>2457</v>
      </c>
      <c r="C738" s="4" t="s">
        <v>2458</v>
      </c>
      <c r="D738" s="5">
        <v>15203.0</v>
      </c>
      <c r="E738" s="4" t="s">
        <v>27</v>
      </c>
      <c r="F738" s="4" t="s">
        <v>241</v>
      </c>
      <c r="G738" s="4" t="s">
        <v>497</v>
      </c>
      <c r="H738" s="4" t="s">
        <v>213</v>
      </c>
      <c r="I738" s="6" t="s">
        <v>214</v>
      </c>
      <c r="L738" s="4" t="s">
        <v>2459</v>
      </c>
      <c r="M738" s="7">
        <v>67.0</v>
      </c>
      <c r="N738" s="7">
        <v>46.0</v>
      </c>
      <c r="O738" s="7">
        <v>62.0</v>
      </c>
      <c r="P738" s="8"/>
    </row>
    <row r="739" ht="14.25" customHeight="1">
      <c r="B739" s="4" t="s">
        <v>2460</v>
      </c>
      <c r="D739" s="5">
        <v>766577.0</v>
      </c>
      <c r="E739" s="4" t="s">
        <v>18</v>
      </c>
      <c r="H739" s="6" t="s">
        <v>70</v>
      </c>
      <c r="I739" s="6" t="s">
        <v>38</v>
      </c>
      <c r="L739" s="4" t="s">
        <v>24</v>
      </c>
      <c r="M739" s="7">
        <v>0.0</v>
      </c>
      <c r="N739" s="7">
        <v>443467.0</v>
      </c>
      <c r="O739" s="7">
        <v>0.0</v>
      </c>
      <c r="P739" s="8"/>
    </row>
    <row r="740" ht="14.25" customHeight="1">
      <c r="A740" s="4" t="s">
        <v>2461</v>
      </c>
      <c r="B740" s="4" t="s">
        <v>2462</v>
      </c>
      <c r="C740" s="4" t="s">
        <v>2461</v>
      </c>
      <c r="D740" s="5">
        <v>724346.0</v>
      </c>
      <c r="E740" s="4" t="s">
        <v>18</v>
      </c>
      <c r="H740" s="4" t="s">
        <v>221</v>
      </c>
      <c r="I740" s="6" t="s">
        <v>222</v>
      </c>
      <c r="L740" s="4" t="s">
        <v>39</v>
      </c>
      <c r="M740" s="7">
        <v>1278.0</v>
      </c>
      <c r="N740" s="7">
        <v>635262.0</v>
      </c>
      <c r="O740" s="7">
        <v>77.0</v>
      </c>
      <c r="P740" s="9" t="s">
        <v>40</v>
      </c>
    </row>
    <row r="741" ht="14.25" customHeight="1">
      <c r="A741" s="6" t="s">
        <v>2463</v>
      </c>
      <c r="B741" s="6" t="s">
        <v>2464</v>
      </c>
      <c r="C741" s="6" t="s">
        <v>2463</v>
      </c>
      <c r="D741" s="10">
        <v>6007334.0</v>
      </c>
      <c r="E741" s="6" t="s">
        <v>18</v>
      </c>
      <c r="G741" s="6" t="s">
        <v>2465</v>
      </c>
      <c r="H741" s="6" t="s">
        <v>296</v>
      </c>
      <c r="I741" s="6" t="s">
        <v>294</v>
      </c>
      <c r="L741" s="6" t="s">
        <v>2466</v>
      </c>
      <c r="M741" s="12">
        <v>3947.0</v>
      </c>
      <c r="N741" s="12">
        <v>144381.0</v>
      </c>
      <c r="O741" s="12">
        <v>802.0</v>
      </c>
      <c r="P741" s="8"/>
    </row>
    <row r="742" ht="14.25" customHeight="1">
      <c r="A742" s="4" t="s">
        <v>2467</v>
      </c>
      <c r="B742" s="4" t="s">
        <v>2468</v>
      </c>
      <c r="C742" s="4" t="s">
        <v>2467</v>
      </c>
      <c r="D742" s="5">
        <v>5595040.0</v>
      </c>
      <c r="E742" s="4" t="s">
        <v>27</v>
      </c>
      <c r="F742" s="4" t="s">
        <v>883</v>
      </c>
      <c r="G742" s="4" t="s">
        <v>168</v>
      </c>
      <c r="L742" s="4" t="s">
        <v>34</v>
      </c>
      <c r="M742" s="7">
        <v>34.0</v>
      </c>
      <c r="N742" s="7">
        <v>0.0</v>
      </c>
      <c r="O742" s="7">
        <v>34.0</v>
      </c>
      <c r="P742" s="8"/>
    </row>
    <row r="743" ht="14.25" customHeight="1">
      <c r="A743" s="6" t="s">
        <v>2469</v>
      </c>
      <c r="B743" s="6" t="s">
        <v>2470</v>
      </c>
      <c r="D743" s="10">
        <v>978797.0</v>
      </c>
      <c r="E743" s="6" t="s">
        <v>18</v>
      </c>
      <c r="F743" s="6" t="s">
        <v>2471</v>
      </c>
      <c r="G743" s="6" t="s">
        <v>168</v>
      </c>
      <c r="H743" s="6" t="s">
        <v>70</v>
      </c>
      <c r="I743" s="6" t="s">
        <v>38</v>
      </c>
      <c r="L743" s="6" t="s">
        <v>71</v>
      </c>
      <c r="M743" s="7">
        <v>612.0</v>
      </c>
      <c r="N743" s="7">
        <v>32531.0</v>
      </c>
      <c r="O743" s="7">
        <v>350.0</v>
      </c>
      <c r="P743" s="8"/>
    </row>
    <row r="744" ht="14.25" customHeight="1">
      <c r="A744" s="6" t="s">
        <v>2472</v>
      </c>
      <c r="B744" s="6" t="s">
        <v>2473</v>
      </c>
      <c r="C744" s="6" t="s">
        <v>2472</v>
      </c>
      <c r="D744" s="10">
        <v>305683.0</v>
      </c>
      <c r="E744" s="4" t="s">
        <v>18</v>
      </c>
      <c r="F744" s="6" t="s">
        <v>2474</v>
      </c>
      <c r="G744" s="6" t="s">
        <v>2475</v>
      </c>
      <c r="H744" s="4" t="s">
        <v>511</v>
      </c>
      <c r="I744" s="6" t="s">
        <v>512</v>
      </c>
      <c r="L744" s="6" t="s">
        <v>2385</v>
      </c>
      <c r="M744" s="12">
        <v>22159.0</v>
      </c>
      <c r="N744" s="12">
        <v>244335.0</v>
      </c>
      <c r="O744" s="12">
        <v>4208.0</v>
      </c>
      <c r="P744" s="9" t="s">
        <v>40</v>
      </c>
    </row>
    <row r="745" ht="14.25" customHeight="1">
      <c r="A745" s="4" t="s">
        <v>2476</v>
      </c>
      <c r="B745" s="4" t="s">
        <v>2477</v>
      </c>
      <c r="C745" s="4" t="s">
        <v>2476</v>
      </c>
      <c r="D745" s="5">
        <v>318825.0</v>
      </c>
      <c r="E745" s="4" t="s">
        <v>18</v>
      </c>
      <c r="H745" s="4" t="s">
        <v>296</v>
      </c>
      <c r="I745" s="6" t="s">
        <v>294</v>
      </c>
      <c r="L745" s="4" t="s">
        <v>39</v>
      </c>
      <c r="M745" s="7">
        <v>463.0</v>
      </c>
      <c r="N745" s="7">
        <v>40663.0</v>
      </c>
      <c r="O745" s="7">
        <v>127.0</v>
      </c>
      <c r="P745" s="8"/>
    </row>
    <row r="746" ht="14.25" customHeight="1">
      <c r="A746" s="4" t="s">
        <v>2478</v>
      </c>
      <c r="D746" s="5">
        <v>1630044.0</v>
      </c>
      <c r="E746" s="4" t="s">
        <v>27</v>
      </c>
      <c r="F746" s="4" t="s">
        <v>217</v>
      </c>
      <c r="G746" s="4" t="s">
        <v>2479</v>
      </c>
      <c r="L746" s="4" t="s">
        <v>34</v>
      </c>
      <c r="M746" s="7">
        <v>176.0</v>
      </c>
      <c r="N746" s="7">
        <v>0.0</v>
      </c>
      <c r="O746" s="7">
        <v>124.0</v>
      </c>
      <c r="P746" s="8"/>
    </row>
    <row r="747" ht="14.25" customHeight="1">
      <c r="D747" s="5"/>
    </row>
    <row r="748" ht="14.25" customHeight="1">
      <c r="D748" s="5"/>
    </row>
    <row r="749" ht="14.25" customHeight="1">
      <c r="D749" s="5"/>
    </row>
    <row r="750" ht="14.25" customHeight="1">
      <c r="D750" s="5"/>
    </row>
    <row r="751" ht="14.25" customHeight="1">
      <c r="D751" s="5"/>
    </row>
    <row r="752" ht="14.25" customHeight="1">
      <c r="D752" s="5"/>
    </row>
    <row r="753" ht="14.25" customHeight="1">
      <c r="D753" s="5"/>
    </row>
    <row r="754" ht="14.25" customHeight="1">
      <c r="D754" s="5"/>
    </row>
    <row r="755" ht="14.25" customHeight="1">
      <c r="D755" s="5"/>
    </row>
    <row r="756" ht="14.25" customHeight="1">
      <c r="D756" s="5"/>
    </row>
    <row r="757" ht="14.25" customHeight="1">
      <c r="D757" s="5"/>
    </row>
    <row r="758" ht="14.25" customHeight="1">
      <c r="D758" s="5"/>
    </row>
    <row r="759" ht="14.25" customHeight="1">
      <c r="D759" s="5"/>
    </row>
    <row r="760" ht="14.25" customHeight="1">
      <c r="D760" s="5"/>
    </row>
    <row r="761" ht="14.25" customHeight="1">
      <c r="D761" s="5"/>
    </row>
    <row r="762" ht="14.25" customHeight="1">
      <c r="D762" s="5"/>
    </row>
    <row r="763" ht="14.25" customHeight="1">
      <c r="D763" s="5"/>
    </row>
    <row r="764" ht="14.25" customHeight="1">
      <c r="D764" s="5"/>
    </row>
    <row r="765" ht="14.25" customHeight="1">
      <c r="D765" s="5"/>
    </row>
    <row r="766" ht="14.25" customHeight="1">
      <c r="D766" s="5"/>
    </row>
    <row r="767" ht="14.25" customHeight="1">
      <c r="D767" s="5"/>
    </row>
    <row r="768" ht="14.25" customHeight="1">
      <c r="D768" s="5"/>
    </row>
    <row r="769" ht="14.25" customHeight="1">
      <c r="D769" s="5"/>
    </row>
    <row r="770" ht="14.25" customHeight="1">
      <c r="D770" s="5"/>
    </row>
    <row r="771" ht="14.25" customHeight="1">
      <c r="D771" s="5"/>
    </row>
    <row r="772" ht="14.25" customHeight="1">
      <c r="D772" s="5"/>
    </row>
    <row r="773" ht="14.25" customHeight="1">
      <c r="D773" s="5"/>
    </row>
    <row r="774" ht="14.25" customHeight="1">
      <c r="D774" s="5"/>
    </row>
    <row r="775" ht="14.25" customHeight="1">
      <c r="D775" s="5"/>
    </row>
    <row r="776" ht="14.25" customHeight="1">
      <c r="D776" s="5"/>
    </row>
    <row r="777" ht="14.25" customHeight="1">
      <c r="D777" s="5"/>
    </row>
    <row r="778" ht="14.25" customHeight="1">
      <c r="D778" s="5"/>
    </row>
    <row r="779" ht="14.25" customHeight="1">
      <c r="D779" s="5"/>
    </row>
    <row r="780" ht="14.25" customHeight="1">
      <c r="D780" s="5"/>
    </row>
    <row r="781" ht="14.25" customHeight="1">
      <c r="D781" s="5"/>
    </row>
    <row r="782" ht="14.25" customHeight="1">
      <c r="D782" s="5"/>
    </row>
    <row r="783" ht="14.25" customHeight="1">
      <c r="D783" s="5"/>
    </row>
    <row r="784" ht="14.25" customHeight="1">
      <c r="D784" s="5"/>
    </row>
    <row r="785" ht="14.25" customHeight="1">
      <c r="D785" s="5"/>
    </row>
    <row r="786" ht="14.25" customHeight="1">
      <c r="D786" s="5"/>
    </row>
    <row r="787" ht="14.25" customHeight="1">
      <c r="D787" s="5"/>
    </row>
    <row r="788" ht="14.25" customHeight="1">
      <c r="D788" s="5"/>
    </row>
    <row r="789" ht="14.25" customHeight="1">
      <c r="D789" s="5"/>
    </row>
    <row r="790" ht="14.25" customHeight="1">
      <c r="D790" s="5"/>
    </row>
    <row r="791" ht="14.25" customHeight="1">
      <c r="D791" s="5"/>
    </row>
    <row r="792" ht="14.25" customHeight="1">
      <c r="D792" s="5"/>
    </row>
    <row r="793" ht="14.25" customHeight="1">
      <c r="D793" s="5"/>
    </row>
    <row r="794" ht="14.25" customHeight="1">
      <c r="D794" s="5"/>
    </row>
    <row r="795" ht="14.25" customHeight="1">
      <c r="D795" s="5"/>
    </row>
    <row r="796" ht="14.25" customHeight="1">
      <c r="D796" s="5"/>
    </row>
    <row r="797" ht="14.25" customHeight="1">
      <c r="D797" s="5"/>
    </row>
    <row r="798" ht="14.25" customHeight="1">
      <c r="D798" s="5"/>
    </row>
    <row r="799" ht="14.25" customHeight="1">
      <c r="D799" s="5"/>
    </row>
    <row r="800" ht="14.25" customHeight="1">
      <c r="D800" s="5"/>
    </row>
    <row r="801" ht="14.25" customHeight="1">
      <c r="D801" s="5"/>
    </row>
    <row r="802" ht="14.25" customHeight="1">
      <c r="D802" s="5"/>
    </row>
    <row r="803" ht="14.25" customHeight="1">
      <c r="D803" s="5"/>
    </row>
    <row r="804" ht="14.25" customHeight="1">
      <c r="D804" s="5"/>
    </row>
    <row r="805" ht="14.25" customHeight="1">
      <c r="D805" s="5"/>
    </row>
    <row r="806" ht="14.25" customHeight="1">
      <c r="D806" s="5"/>
    </row>
    <row r="807" ht="14.25" customHeight="1">
      <c r="D807" s="5"/>
    </row>
    <row r="808" ht="14.25" customHeight="1">
      <c r="D808" s="5"/>
    </row>
    <row r="809" ht="14.25" customHeight="1">
      <c r="D809" s="5"/>
    </row>
    <row r="810" ht="14.25" customHeight="1">
      <c r="D810" s="5"/>
    </row>
    <row r="811" ht="14.25" customHeight="1">
      <c r="D811" s="5"/>
    </row>
    <row r="812" ht="14.25" customHeight="1">
      <c r="D812" s="5"/>
    </row>
    <row r="813" ht="14.25" customHeight="1">
      <c r="D813" s="5"/>
    </row>
    <row r="814" ht="14.25" customHeight="1">
      <c r="D814" s="5"/>
    </row>
    <row r="815" ht="14.25" customHeight="1">
      <c r="D815" s="5"/>
    </row>
    <row r="816" ht="14.25" customHeight="1">
      <c r="D816" s="5"/>
    </row>
    <row r="817" ht="14.25" customHeight="1">
      <c r="D817" s="5"/>
    </row>
    <row r="818" ht="14.25" customHeight="1">
      <c r="D818" s="5"/>
    </row>
    <row r="819" ht="14.25" customHeight="1">
      <c r="D819" s="5"/>
    </row>
    <row r="820" ht="14.25" customHeight="1">
      <c r="D820" s="5"/>
    </row>
    <row r="821" ht="14.25" customHeight="1">
      <c r="D821" s="5"/>
    </row>
    <row r="822" ht="14.25" customHeight="1">
      <c r="D822" s="5"/>
    </row>
    <row r="823" ht="14.25" customHeight="1">
      <c r="D823" s="5"/>
    </row>
    <row r="824" ht="14.25" customHeight="1">
      <c r="D824" s="5"/>
    </row>
    <row r="825" ht="14.25" customHeight="1">
      <c r="D825" s="5"/>
    </row>
    <row r="826" ht="14.25" customHeight="1">
      <c r="D826" s="5"/>
    </row>
    <row r="827" ht="14.25" customHeight="1">
      <c r="D827" s="5"/>
    </row>
    <row r="828" ht="14.25" customHeight="1">
      <c r="D828" s="5"/>
    </row>
    <row r="829" ht="14.25" customHeight="1">
      <c r="D829" s="5"/>
    </row>
    <row r="830" ht="14.25" customHeight="1">
      <c r="D830" s="5"/>
    </row>
    <row r="831" ht="14.25" customHeight="1">
      <c r="D831" s="5"/>
    </row>
    <row r="832" ht="14.25" customHeight="1">
      <c r="D832" s="5"/>
    </row>
    <row r="833" ht="14.25" customHeight="1">
      <c r="D833" s="5"/>
    </row>
    <row r="834" ht="14.25" customHeight="1">
      <c r="D834" s="5"/>
    </row>
    <row r="835" ht="14.25" customHeight="1">
      <c r="D835" s="5"/>
    </row>
    <row r="836" ht="14.25" customHeight="1">
      <c r="D836" s="5"/>
    </row>
    <row r="837" ht="14.25" customHeight="1">
      <c r="D837" s="5"/>
    </row>
    <row r="838" ht="14.25" customHeight="1">
      <c r="D838" s="5"/>
    </row>
    <row r="839" ht="14.25" customHeight="1">
      <c r="D839" s="5"/>
    </row>
    <row r="840" ht="14.25" customHeight="1">
      <c r="D840" s="5"/>
    </row>
    <row r="841" ht="14.25" customHeight="1">
      <c r="D841" s="5"/>
    </row>
    <row r="842" ht="14.25" customHeight="1">
      <c r="D842" s="5"/>
    </row>
    <row r="843" ht="14.25" customHeight="1">
      <c r="D843" s="5"/>
    </row>
    <row r="844" ht="14.25" customHeight="1">
      <c r="D844" s="5"/>
    </row>
    <row r="845" ht="14.25" customHeight="1">
      <c r="D845" s="5"/>
    </row>
    <row r="846" ht="14.25" customHeight="1">
      <c r="D846" s="5"/>
    </row>
    <row r="847" ht="14.25" customHeight="1">
      <c r="D847" s="5"/>
    </row>
    <row r="848" ht="14.25" customHeight="1">
      <c r="D848" s="5"/>
    </row>
    <row r="849" ht="14.25" customHeight="1">
      <c r="D849" s="5"/>
    </row>
    <row r="850" ht="14.25" customHeight="1">
      <c r="D850" s="5"/>
    </row>
    <row r="851" ht="14.25" customHeight="1">
      <c r="D851" s="5"/>
    </row>
    <row r="852" ht="14.25" customHeight="1">
      <c r="D852" s="5"/>
    </row>
    <row r="853" ht="14.25" customHeight="1">
      <c r="D853" s="5"/>
    </row>
    <row r="854" ht="14.25" customHeight="1">
      <c r="D854" s="5"/>
    </row>
    <row r="855" ht="14.25" customHeight="1">
      <c r="D855" s="5"/>
    </row>
    <row r="856" ht="14.25" customHeight="1">
      <c r="D856" s="5"/>
    </row>
    <row r="857" ht="14.25" customHeight="1">
      <c r="D857" s="5"/>
    </row>
    <row r="858" ht="14.25" customHeight="1">
      <c r="D858" s="5"/>
    </row>
    <row r="859" ht="14.25" customHeight="1">
      <c r="D859" s="5"/>
    </row>
    <row r="860" ht="14.25" customHeight="1">
      <c r="D860" s="5"/>
    </row>
    <row r="861" ht="14.25" customHeight="1">
      <c r="D861" s="5"/>
    </row>
    <row r="862" ht="14.25" customHeight="1">
      <c r="D862" s="5"/>
    </row>
    <row r="863" ht="14.25" customHeight="1">
      <c r="D863" s="5"/>
    </row>
    <row r="864" ht="14.25" customHeight="1">
      <c r="D864" s="5"/>
    </row>
    <row r="865" ht="14.25" customHeight="1">
      <c r="D865" s="5"/>
    </row>
    <row r="866" ht="14.25" customHeight="1">
      <c r="D866" s="5"/>
    </row>
    <row r="867" ht="14.25" customHeight="1">
      <c r="D867" s="5"/>
    </row>
    <row r="868" ht="14.25" customHeight="1">
      <c r="D868" s="5"/>
    </row>
    <row r="869" ht="14.25" customHeight="1">
      <c r="D869" s="5"/>
    </row>
    <row r="870" ht="14.25" customHeight="1">
      <c r="D870" s="5"/>
    </row>
    <row r="871" ht="14.25" customHeight="1">
      <c r="D871" s="5"/>
    </row>
    <row r="872" ht="14.25" customHeight="1">
      <c r="D872" s="5"/>
    </row>
    <row r="873" ht="14.25" customHeight="1">
      <c r="D873" s="5"/>
    </row>
    <row r="874" ht="14.25" customHeight="1">
      <c r="D874" s="5"/>
    </row>
    <row r="875" ht="14.25" customHeight="1">
      <c r="D875" s="5"/>
    </row>
    <row r="876" ht="14.25" customHeight="1">
      <c r="D876" s="5"/>
    </row>
    <row r="877" ht="14.25" customHeight="1">
      <c r="D877" s="5"/>
    </row>
    <row r="878" ht="14.25" customHeight="1">
      <c r="D878" s="5"/>
    </row>
    <row r="879" ht="14.25" customHeight="1">
      <c r="D879" s="5"/>
    </row>
    <row r="880" ht="14.25" customHeight="1">
      <c r="D880" s="5"/>
    </row>
    <row r="881" ht="14.25" customHeight="1">
      <c r="D881" s="5"/>
    </row>
    <row r="882" ht="14.25" customHeight="1">
      <c r="D882" s="5"/>
    </row>
    <row r="883" ht="14.25" customHeight="1">
      <c r="D883" s="5"/>
    </row>
    <row r="884" ht="14.25" customHeight="1">
      <c r="D884" s="5"/>
    </row>
    <row r="885" ht="14.25" customHeight="1">
      <c r="D885" s="5"/>
    </row>
    <row r="886" ht="14.25" customHeight="1">
      <c r="D886" s="5"/>
    </row>
    <row r="887" ht="14.25" customHeight="1">
      <c r="D887" s="5"/>
    </row>
    <row r="888" ht="14.25" customHeight="1">
      <c r="D888" s="5"/>
    </row>
    <row r="889" ht="14.25" customHeight="1">
      <c r="D889" s="5"/>
    </row>
    <row r="890" ht="14.25" customHeight="1">
      <c r="D890" s="5"/>
    </row>
    <row r="891" ht="14.25" customHeight="1">
      <c r="D891" s="5"/>
    </row>
    <row r="892" ht="14.25" customHeight="1">
      <c r="D892" s="5"/>
    </row>
    <row r="893" ht="14.25" customHeight="1">
      <c r="D893" s="5"/>
    </row>
    <row r="894" ht="14.25" customHeight="1">
      <c r="D894" s="5"/>
    </row>
    <row r="895" ht="14.25" customHeight="1">
      <c r="D895" s="5"/>
    </row>
    <row r="896" ht="14.25" customHeight="1">
      <c r="D896" s="5"/>
    </row>
    <row r="897" ht="14.25" customHeight="1">
      <c r="D897" s="5"/>
    </row>
    <row r="898" ht="14.25" customHeight="1">
      <c r="D898" s="5"/>
    </row>
    <row r="899" ht="14.25" customHeight="1">
      <c r="D899" s="5"/>
    </row>
    <row r="900" ht="14.25" customHeight="1">
      <c r="D900" s="5"/>
    </row>
    <row r="901" ht="14.25" customHeight="1">
      <c r="D901" s="5"/>
    </row>
    <row r="902" ht="14.25" customHeight="1">
      <c r="D902" s="5"/>
    </row>
    <row r="903" ht="14.25" customHeight="1">
      <c r="D903" s="5"/>
    </row>
    <row r="904" ht="14.25" customHeight="1">
      <c r="D904" s="5"/>
    </row>
    <row r="905" ht="14.25" customHeight="1">
      <c r="D905" s="5"/>
    </row>
    <row r="906" ht="14.25" customHeight="1">
      <c r="D906" s="5"/>
    </row>
    <row r="907" ht="14.25" customHeight="1">
      <c r="D907" s="5"/>
    </row>
    <row r="908" ht="14.25" customHeight="1">
      <c r="D908" s="5"/>
    </row>
    <row r="909" ht="14.25" customHeight="1">
      <c r="D909" s="5"/>
    </row>
    <row r="910" ht="14.25" customHeight="1">
      <c r="D910" s="5"/>
    </row>
    <row r="911" ht="14.25" customHeight="1">
      <c r="D911" s="5"/>
    </row>
    <row r="912" ht="14.25" customHeight="1">
      <c r="D912" s="5"/>
    </row>
    <row r="913" ht="14.25" customHeight="1">
      <c r="D913" s="5"/>
    </row>
    <row r="914" ht="14.25" customHeight="1">
      <c r="D914" s="5"/>
    </row>
    <row r="915" ht="14.25" customHeight="1">
      <c r="D915" s="5"/>
    </row>
    <row r="916" ht="14.25" customHeight="1">
      <c r="D916" s="5"/>
    </row>
    <row r="917" ht="14.25" customHeight="1">
      <c r="D917" s="5"/>
    </row>
    <row r="918" ht="14.25" customHeight="1">
      <c r="D918" s="5"/>
    </row>
    <row r="919" ht="14.25" customHeight="1">
      <c r="D919" s="5"/>
    </row>
    <row r="920" ht="14.25" customHeight="1">
      <c r="D920" s="5"/>
    </row>
    <row r="921" ht="14.25" customHeight="1">
      <c r="D921" s="5"/>
    </row>
    <row r="922" ht="14.25" customHeight="1">
      <c r="D922" s="5"/>
    </row>
    <row r="923" ht="14.25" customHeight="1">
      <c r="D923" s="5"/>
    </row>
    <row r="924" ht="14.25" customHeight="1">
      <c r="D924" s="5"/>
    </row>
    <row r="925" ht="14.25" customHeight="1">
      <c r="D925" s="5"/>
    </row>
    <row r="926" ht="14.25" customHeight="1">
      <c r="D926" s="5"/>
    </row>
    <row r="927" ht="14.25" customHeight="1">
      <c r="D927" s="5"/>
    </row>
    <row r="928" ht="14.25" customHeight="1">
      <c r="D928" s="5"/>
    </row>
    <row r="929" ht="14.25" customHeight="1">
      <c r="D929" s="5"/>
    </row>
    <row r="930" ht="14.25" customHeight="1">
      <c r="D930" s="5"/>
    </row>
    <row r="931" ht="14.25" customHeight="1">
      <c r="D931" s="5"/>
    </row>
    <row r="932" ht="14.25" customHeight="1">
      <c r="D932" s="5"/>
    </row>
    <row r="933" ht="14.25" customHeight="1">
      <c r="D933" s="5"/>
    </row>
    <row r="934" ht="14.25" customHeight="1">
      <c r="D934" s="5"/>
    </row>
    <row r="935" ht="14.25" customHeight="1">
      <c r="D935" s="5"/>
    </row>
    <row r="936" ht="14.25" customHeight="1">
      <c r="D936" s="5"/>
    </row>
    <row r="937" ht="14.25" customHeight="1">
      <c r="D937" s="5"/>
    </row>
    <row r="938" ht="14.25" customHeight="1">
      <c r="D938" s="5"/>
    </row>
    <row r="939" ht="14.25" customHeight="1">
      <c r="D939" s="5"/>
    </row>
    <row r="940" ht="14.25" customHeight="1">
      <c r="D940" s="5"/>
    </row>
    <row r="941" ht="14.25" customHeight="1">
      <c r="D941" s="5"/>
    </row>
    <row r="942" ht="14.25" customHeight="1">
      <c r="D942" s="5"/>
    </row>
    <row r="943" ht="14.25" customHeight="1">
      <c r="D943" s="5"/>
    </row>
    <row r="944" ht="14.25" customHeight="1">
      <c r="D944" s="5"/>
    </row>
    <row r="945" ht="14.25" customHeight="1">
      <c r="D945" s="5"/>
    </row>
    <row r="946" ht="14.25" customHeight="1">
      <c r="D946" s="5"/>
    </row>
    <row r="947" ht="14.25" customHeight="1">
      <c r="D947" s="5"/>
    </row>
    <row r="948" ht="14.25" customHeight="1">
      <c r="D948" s="5"/>
    </row>
    <row r="949" ht="14.25" customHeight="1">
      <c r="D949" s="5"/>
    </row>
    <row r="950" ht="14.25" customHeight="1">
      <c r="D950" s="5"/>
    </row>
    <row r="951" ht="14.25" customHeight="1">
      <c r="D951" s="5"/>
    </row>
    <row r="952" ht="14.25" customHeight="1">
      <c r="D952" s="5"/>
    </row>
    <row r="953" ht="14.25" customHeight="1">
      <c r="D953" s="5"/>
    </row>
    <row r="954" ht="14.25" customHeight="1">
      <c r="D954" s="5"/>
    </row>
    <row r="955" ht="14.25" customHeight="1">
      <c r="D955" s="5"/>
    </row>
    <row r="956" ht="14.25" customHeight="1">
      <c r="D956" s="5"/>
    </row>
    <row r="957" ht="14.25" customHeight="1">
      <c r="D957" s="5"/>
    </row>
    <row r="958" ht="14.25" customHeight="1">
      <c r="D958" s="5"/>
    </row>
    <row r="959" ht="14.25" customHeight="1">
      <c r="D959" s="5"/>
    </row>
    <row r="960" ht="14.25" customHeight="1">
      <c r="D960" s="5"/>
    </row>
    <row r="961" ht="14.25" customHeight="1">
      <c r="D961" s="5"/>
    </row>
    <row r="962" ht="14.25" customHeight="1">
      <c r="D962" s="5"/>
    </row>
    <row r="963" ht="14.25" customHeight="1">
      <c r="D963" s="5"/>
    </row>
    <row r="964" ht="14.25" customHeight="1">
      <c r="D964" s="5"/>
    </row>
    <row r="965" ht="14.25" customHeight="1">
      <c r="D965" s="5"/>
    </row>
    <row r="966" ht="14.25" customHeight="1">
      <c r="D966" s="5"/>
    </row>
    <row r="967" ht="14.25" customHeight="1">
      <c r="D967" s="5"/>
    </row>
    <row r="968" ht="14.25" customHeight="1">
      <c r="D968" s="5"/>
    </row>
    <row r="969" ht="14.25" customHeight="1">
      <c r="D969" s="5"/>
    </row>
    <row r="970" ht="14.25" customHeight="1">
      <c r="D970" s="5"/>
    </row>
    <row r="971" ht="14.25" customHeight="1">
      <c r="D971" s="5"/>
    </row>
    <row r="972" ht="14.25" customHeight="1">
      <c r="D972" s="5"/>
    </row>
    <row r="973" ht="14.25" customHeight="1">
      <c r="D973" s="5"/>
    </row>
    <row r="974" ht="14.25" customHeight="1">
      <c r="D974" s="5"/>
    </row>
    <row r="975" ht="14.25" customHeight="1">
      <c r="D975" s="5"/>
    </row>
    <row r="976" ht="14.25" customHeight="1">
      <c r="D976" s="5"/>
    </row>
    <row r="977" ht="14.25" customHeight="1">
      <c r="D977" s="5"/>
    </row>
    <row r="978" ht="14.25" customHeight="1">
      <c r="D978" s="5"/>
    </row>
    <row r="979" ht="14.25" customHeight="1">
      <c r="D979" s="5"/>
    </row>
    <row r="980" ht="14.25" customHeight="1">
      <c r="D980" s="5"/>
    </row>
    <row r="981" ht="14.25" customHeight="1">
      <c r="D981" s="5"/>
    </row>
    <row r="982" ht="14.25" customHeight="1">
      <c r="D982" s="5"/>
    </row>
    <row r="983" ht="14.25" customHeight="1">
      <c r="D983" s="5"/>
    </row>
    <row r="984" ht="14.25" customHeight="1">
      <c r="D984" s="5"/>
    </row>
    <row r="985" ht="14.25" customHeight="1">
      <c r="D985" s="5"/>
    </row>
    <row r="986" ht="14.25" customHeight="1">
      <c r="D986" s="5"/>
    </row>
    <row r="987" ht="14.25" customHeight="1">
      <c r="D987" s="5"/>
    </row>
    <row r="988" ht="14.25" customHeight="1">
      <c r="D988" s="5"/>
    </row>
    <row r="989" ht="14.25" customHeight="1">
      <c r="D989" s="5"/>
    </row>
    <row r="990" ht="14.25" customHeight="1">
      <c r="D990" s="5"/>
    </row>
    <row r="991" ht="14.25" customHeight="1">
      <c r="D991" s="5"/>
    </row>
    <row r="992" ht="14.25" customHeight="1">
      <c r="D992" s="5"/>
    </row>
    <row r="993" ht="14.25" customHeight="1">
      <c r="D993" s="5"/>
    </row>
    <row r="994" ht="14.25" customHeight="1">
      <c r="D994" s="5"/>
    </row>
    <row r="995" ht="14.25" customHeight="1">
      <c r="D995" s="5"/>
    </row>
    <row r="996" ht="14.25" customHeight="1">
      <c r="D996" s="5"/>
    </row>
    <row r="997" ht="14.25" customHeight="1">
      <c r="D997" s="5"/>
    </row>
    <row r="998" ht="14.25" customHeight="1">
      <c r="D998" s="5"/>
    </row>
    <row r="999" ht="14.25" customHeight="1">
      <c r="D999" s="5"/>
    </row>
    <row r="1000" ht="14.25" customHeight="1">
      <c r="D1000" s="5"/>
    </row>
    <row r="1001" ht="14.25" customHeight="1">
      <c r="D1001" s="5"/>
    </row>
    <row r="1002" ht="14.25" customHeight="1">
      <c r="D1002" s="5"/>
    </row>
    <row r="1003" ht="14.25" customHeight="1">
      <c r="D1003" s="5"/>
    </row>
    <row r="1004" ht="14.25" customHeight="1">
      <c r="D1004" s="5"/>
    </row>
    <row r="1005" ht="14.25" customHeight="1">
      <c r="D1005" s="5"/>
    </row>
    <row r="1006" ht="14.25" customHeight="1">
      <c r="D1006" s="5"/>
    </row>
    <row r="1007" ht="14.25" customHeight="1">
      <c r="D1007" s="5"/>
    </row>
    <row r="1008" ht="14.25" customHeight="1">
      <c r="D1008" s="5"/>
    </row>
    <row r="1009" ht="14.25" customHeight="1">
      <c r="D1009" s="5"/>
    </row>
    <row r="1010" ht="14.25" customHeight="1">
      <c r="D1010" s="5"/>
    </row>
    <row r="1011" ht="14.25" customHeight="1">
      <c r="D1011" s="5"/>
    </row>
    <row r="1012" ht="14.25" customHeight="1">
      <c r="D1012" s="5"/>
    </row>
    <row r="1013" ht="14.25" customHeight="1">
      <c r="D1013" s="5"/>
    </row>
    <row r="1014" ht="14.25" customHeight="1">
      <c r="D1014" s="5"/>
    </row>
    <row r="1015" ht="14.25" customHeight="1">
      <c r="D1015" s="5"/>
    </row>
    <row r="1016" ht="14.25" customHeight="1">
      <c r="D1016" s="5"/>
    </row>
    <row r="1017" ht="14.25" customHeight="1">
      <c r="D1017" s="5"/>
    </row>
    <row r="1018" ht="14.25" customHeight="1">
      <c r="D1018" s="5"/>
    </row>
    <row r="1019" ht="14.25" customHeight="1">
      <c r="D1019" s="5"/>
    </row>
    <row r="1020" ht="14.25" customHeight="1">
      <c r="D1020" s="5"/>
    </row>
    <row r="1021" ht="14.25" customHeight="1">
      <c r="D1021" s="5"/>
    </row>
    <row r="1022" ht="14.25" customHeight="1">
      <c r="D1022" s="5"/>
    </row>
    <row r="1023" ht="14.25" customHeight="1">
      <c r="D1023" s="5"/>
    </row>
    <row r="1024" ht="14.25" customHeight="1">
      <c r="D1024" s="5"/>
    </row>
    <row r="1025" ht="14.25" customHeight="1">
      <c r="D1025" s="5"/>
    </row>
    <row r="1026" ht="14.25" customHeight="1">
      <c r="D1026" s="5"/>
    </row>
    <row r="1027" ht="14.25" customHeight="1">
      <c r="D1027" s="5"/>
    </row>
    <row r="1028" ht="14.25" customHeight="1">
      <c r="D1028" s="5"/>
    </row>
    <row r="1029" ht="14.25" customHeight="1">
      <c r="D1029" s="5"/>
    </row>
    <row r="1030" ht="14.25" customHeight="1">
      <c r="D1030" s="5"/>
    </row>
    <row r="1031" ht="14.25" customHeight="1">
      <c r="D1031" s="5"/>
    </row>
    <row r="1032" ht="14.25" customHeight="1">
      <c r="D1032" s="5"/>
    </row>
    <row r="1033" ht="14.25" customHeight="1">
      <c r="D1033" s="5"/>
    </row>
    <row r="1034" ht="14.25" customHeight="1">
      <c r="D1034" s="5"/>
    </row>
    <row r="1035" ht="14.25" customHeight="1">
      <c r="D1035" s="5"/>
    </row>
    <row r="1036" ht="14.25" customHeight="1">
      <c r="D1036" s="5"/>
    </row>
    <row r="1037" ht="14.25" customHeight="1">
      <c r="D1037" s="5"/>
    </row>
    <row r="1038" ht="14.25" customHeight="1">
      <c r="D1038" s="5"/>
    </row>
    <row r="1039" ht="14.25" customHeight="1">
      <c r="D1039" s="5"/>
    </row>
    <row r="1040" ht="14.25" customHeight="1">
      <c r="D1040" s="5"/>
    </row>
    <row r="1041" ht="14.25" customHeight="1">
      <c r="D1041" s="5"/>
    </row>
    <row r="1042" ht="14.25" customHeight="1">
      <c r="D1042" s="5"/>
    </row>
    <row r="1043" ht="14.25" customHeight="1">
      <c r="D1043" s="5"/>
    </row>
    <row r="1044" ht="14.25" customHeight="1">
      <c r="D1044" s="5"/>
    </row>
    <row r="1045" ht="14.25" customHeight="1">
      <c r="D1045" s="5"/>
    </row>
    <row r="1046" ht="14.25" customHeight="1">
      <c r="D1046" s="5"/>
    </row>
    <row r="1047" ht="14.25" customHeight="1">
      <c r="D1047" s="5"/>
    </row>
    <row r="1048" ht="14.25" customHeight="1">
      <c r="D1048" s="5"/>
    </row>
    <row r="1049" ht="14.25" customHeight="1">
      <c r="D1049" s="5"/>
    </row>
    <row r="1050" ht="14.25" customHeight="1">
      <c r="D1050" s="5"/>
    </row>
    <row r="1051" ht="14.25" customHeight="1">
      <c r="D1051" s="5"/>
    </row>
    <row r="1052" ht="14.25" customHeight="1">
      <c r="D1052" s="5"/>
    </row>
    <row r="1053" ht="14.25" customHeight="1">
      <c r="D1053" s="5"/>
    </row>
    <row r="1054" ht="14.25" customHeight="1">
      <c r="D1054" s="5"/>
    </row>
    <row r="1055" ht="14.25" customHeight="1">
      <c r="D1055" s="5"/>
    </row>
    <row r="1056" ht="14.25" customHeight="1">
      <c r="D1056" s="5"/>
    </row>
    <row r="1057" ht="14.25" customHeight="1">
      <c r="D1057" s="5"/>
    </row>
    <row r="1058" ht="14.25" customHeight="1">
      <c r="D1058" s="5"/>
    </row>
    <row r="1059" ht="14.25" customHeight="1">
      <c r="D1059" s="5"/>
    </row>
    <row r="1060" ht="14.25" customHeight="1">
      <c r="D1060" s="5"/>
    </row>
    <row r="1061" ht="14.25" customHeight="1">
      <c r="D1061" s="5"/>
    </row>
    <row r="1062" ht="14.25" customHeight="1">
      <c r="D1062" s="5"/>
    </row>
    <row r="1063" ht="14.25" customHeight="1">
      <c r="D1063" s="5"/>
    </row>
    <row r="1064" ht="14.25" customHeight="1">
      <c r="D1064" s="5"/>
    </row>
    <row r="1065" ht="14.25" customHeight="1">
      <c r="D1065" s="5"/>
    </row>
    <row r="1066" ht="14.25" customHeight="1">
      <c r="D1066" s="5"/>
    </row>
    <row r="1067" ht="14.25" customHeight="1">
      <c r="D1067" s="5"/>
    </row>
    <row r="1068" ht="14.25" customHeight="1">
      <c r="D1068" s="5"/>
    </row>
    <row r="1069" ht="14.25" customHeight="1">
      <c r="D1069" s="5"/>
    </row>
    <row r="1070" ht="14.25" customHeight="1">
      <c r="D1070" s="5"/>
    </row>
    <row r="1071" ht="14.25" customHeight="1">
      <c r="D1071" s="5"/>
    </row>
    <row r="1072" ht="14.25" customHeight="1">
      <c r="D1072" s="5"/>
    </row>
    <row r="1073" ht="14.25" customHeight="1">
      <c r="D1073" s="5"/>
    </row>
    <row r="1074" ht="14.25" customHeight="1">
      <c r="D1074" s="5"/>
    </row>
    <row r="1075" ht="14.25" customHeight="1">
      <c r="D1075" s="5"/>
    </row>
    <row r="1076" ht="14.25" customHeight="1">
      <c r="D1076" s="5"/>
    </row>
    <row r="1077" ht="14.25" customHeight="1">
      <c r="D1077" s="5"/>
    </row>
    <row r="1078" ht="14.25" customHeight="1">
      <c r="D1078" s="5"/>
    </row>
    <row r="1079" ht="14.25" customHeight="1">
      <c r="D1079" s="5"/>
    </row>
    <row r="1080" ht="14.25" customHeight="1">
      <c r="D1080" s="5"/>
    </row>
    <row r="1081" ht="14.25" customHeight="1">
      <c r="D1081" s="5"/>
    </row>
    <row r="1082" ht="14.25" customHeight="1">
      <c r="D1082" s="5"/>
    </row>
    <row r="1083" ht="14.25" customHeight="1">
      <c r="D1083" s="5"/>
    </row>
    <row r="1084" ht="14.25" customHeight="1">
      <c r="D1084" s="5"/>
    </row>
    <row r="1085" ht="14.25" customHeight="1">
      <c r="D1085" s="5"/>
    </row>
    <row r="1086" ht="14.25" customHeight="1">
      <c r="D1086" s="5"/>
    </row>
    <row r="1087" ht="14.25" customHeight="1">
      <c r="D1087" s="5"/>
    </row>
    <row r="1088" ht="14.25" customHeight="1">
      <c r="D1088" s="5"/>
    </row>
    <row r="1089" ht="14.25" customHeight="1">
      <c r="D1089" s="5"/>
    </row>
    <row r="1090" ht="14.25" customHeight="1">
      <c r="D1090" s="5"/>
    </row>
    <row r="1091" ht="14.25" customHeight="1">
      <c r="D1091" s="5"/>
    </row>
    <row r="1092" ht="14.25" customHeight="1">
      <c r="D1092" s="5"/>
    </row>
    <row r="1093" ht="14.25" customHeight="1">
      <c r="D1093" s="5"/>
    </row>
    <row r="1094" ht="14.25" customHeight="1">
      <c r="D1094" s="5"/>
    </row>
    <row r="1095" ht="14.25" customHeight="1">
      <c r="D1095" s="5"/>
    </row>
    <row r="1096" ht="14.25" customHeight="1">
      <c r="D1096" s="5"/>
    </row>
    <row r="1097" ht="14.25" customHeight="1">
      <c r="D1097" s="5"/>
    </row>
    <row r="1098" ht="14.25" customHeight="1">
      <c r="D1098" s="5"/>
    </row>
    <row r="1099" ht="14.25" customHeight="1">
      <c r="D1099" s="5"/>
    </row>
    <row r="1100" ht="14.25" customHeight="1">
      <c r="D1100" s="5"/>
    </row>
    <row r="1101" ht="14.25" customHeight="1">
      <c r="D1101" s="5"/>
    </row>
    <row r="1102" ht="14.25" customHeight="1">
      <c r="D1102" s="5"/>
    </row>
    <row r="1103" ht="14.25" customHeight="1">
      <c r="D1103" s="5"/>
    </row>
    <row r="1104" ht="14.25" customHeight="1">
      <c r="D1104" s="5"/>
    </row>
    <row r="1105" ht="14.25" customHeight="1">
      <c r="D1105" s="5"/>
    </row>
    <row r="1106" ht="14.25" customHeight="1">
      <c r="D1106" s="5"/>
    </row>
    <row r="1107" ht="14.25" customHeight="1">
      <c r="D1107" s="5"/>
    </row>
    <row r="1108" ht="14.25" customHeight="1">
      <c r="D1108" s="5"/>
    </row>
    <row r="1109" ht="14.25" customHeight="1">
      <c r="D1109" s="5"/>
    </row>
    <row r="1110" ht="14.25" customHeight="1">
      <c r="D1110" s="5"/>
    </row>
    <row r="1111" ht="14.25" customHeight="1">
      <c r="D1111" s="5"/>
    </row>
    <row r="1112" ht="14.25" customHeight="1">
      <c r="D1112" s="5"/>
    </row>
    <row r="1113" ht="14.25" customHeight="1">
      <c r="D1113" s="5"/>
    </row>
    <row r="1114" ht="14.25" customHeight="1">
      <c r="D1114" s="5"/>
    </row>
    <row r="1115" ht="14.25" customHeight="1">
      <c r="D1115" s="5"/>
    </row>
    <row r="1116" ht="14.25" customHeight="1">
      <c r="D1116" s="5"/>
    </row>
    <row r="1117" ht="14.25" customHeight="1">
      <c r="D1117" s="5"/>
    </row>
    <row r="1118" ht="14.25" customHeight="1">
      <c r="D1118" s="5"/>
    </row>
    <row r="1119" ht="14.25" customHeight="1">
      <c r="D1119" s="5"/>
    </row>
    <row r="1120" ht="14.25" customHeight="1">
      <c r="D1120" s="5"/>
    </row>
    <row r="1121" ht="14.25" customHeight="1">
      <c r="D1121" s="5"/>
    </row>
    <row r="1122" ht="14.25" customHeight="1">
      <c r="D1122" s="5"/>
    </row>
    <row r="1123" ht="14.25" customHeight="1">
      <c r="D1123" s="5"/>
    </row>
    <row r="1124" ht="14.25" customHeight="1">
      <c r="D1124" s="5"/>
    </row>
    <row r="1125" ht="14.25" customHeight="1">
      <c r="D1125" s="5"/>
    </row>
    <row r="1126" ht="14.25" customHeight="1">
      <c r="D1126" s="5"/>
    </row>
    <row r="1127" ht="14.25" customHeight="1">
      <c r="D1127" s="5"/>
    </row>
    <row r="1128" ht="14.25" customHeight="1">
      <c r="D1128" s="5"/>
    </row>
    <row r="1129" ht="14.25" customHeight="1">
      <c r="D1129" s="5"/>
    </row>
    <row r="1130" ht="14.25" customHeight="1">
      <c r="D1130" s="5"/>
    </row>
    <row r="1131" ht="14.25" customHeight="1">
      <c r="D1131" s="5"/>
    </row>
    <row r="1132" ht="14.25" customHeight="1">
      <c r="D1132" s="5"/>
    </row>
    <row r="1133" ht="14.25" customHeight="1">
      <c r="D1133" s="5"/>
    </row>
    <row r="1134" ht="14.25" customHeight="1">
      <c r="D1134" s="5"/>
    </row>
    <row r="1135" ht="14.25" customHeight="1">
      <c r="D1135" s="5"/>
    </row>
    <row r="1136" ht="14.25" customHeight="1">
      <c r="D1136" s="5"/>
    </row>
    <row r="1137" ht="14.25" customHeight="1">
      <c r="D1137" s="5"/>
    </row>
    <row r="1138" ht="14.25" customHeight="1">
      <c r="D1138" s="5"/>
    </row>
    <row r="1139" ht="14.25" customHeight="1">
      <c r="D1139" s="5"/>
    </row>
    <row r="1140" ht="14.25" customHeight="1">
      <c r="D1140" s="5"/>
    </row>
    <row r="1141" ht="14.25" customHeight="1">
      <c r="D1141" s="5"/>
    </row>
    <row r="1142" ht="14.25" customHeight="1">
      <c r="D1142" s="5"/>
    </row>
    <row r="1143" ht="14.25" customHeight="1">
      <c r="D1143" s="5"/>
    </row>
    <row r="1144" ht="14.25" customHeight="1">
      <c r="D1144" s="5"/>
    </row>
    <row r="1145" ht="14.25" customHeight="1">
      <c r="D1145" s="5"/>
    </row>
    <row r="1146" ht="14.25" customHeight="1">
      <c r="D1146" s="5"/>
    </row>
    <row r="1147" ht="14.25" customHeight="1">
      <c r="D1147" s="5"/>
    </row>
    <row r="1148" ht="14.25" customHeight="1">
      <c r="D1148" s="5"/>
    </row>
    <row r="1149" ht="14.25" customHeight="1">
      <c r="D1149" s="5"/>
    </row>
    <row r="1150" ht="14.25" customHeight="1">
      <c r="D1150" s="5"/>
    </row>
    <row r="1151" ht="14.25" customHeight="1">
      <c r="D1151" s="5"/>
    </row>
    <row r="1152" ht="14.25" customHeight="1">
      <c r="D1152" s="5"/>
    </row>
    <row r="1153" ht="14.25" customHeight="1">
      <c r="D1153" s="5"/>
    </row>
    <row r="1154" ht="14.25" customHeight="1">
      <c r="D1154" s="5"/>
    </row>
    <row r="1155" ht="14.25" customHeight="1">
      <c r="D1155" s="5"/>
    </row>
    <row r="1156" ht="14.25" customHeight="1">
      <c r="D1156" s="5"/>
    </row>
    <row r="1157" ht="14.25" customHeight="1">
      <c r="D1157" s="5"/>
    </row>
    <row r="1158" ht="14.25" customHeight="1">
      <c r="D1158" s="5"/>
    </row>
    <row r="1159" ht="14.25" customHeight="1">
      <c r="D1159" s="5"/>
    </row>
    <row r="1160" ht="14.25" customHeight="1">
      <c r="D1160" s="5"/>
    </row>
    <row r="1161" ht="14.25" customHeight="1">
      <c r="D1161" s="5"/>
    </row>
    <row r="1162" ht="14.25" customHeight="1">
      <c r="D1162" s="5"/>
    </row>
    <row r="1163" ht="14.25" customHeight="1">
      <c r="D1163" s="5"/>
    </row>
    <row r="1164" ht="14.25" customHeight="1">
      <c r="D1164" s="5"/>
    </row>
    <row r="1165" ht="14.25" customHeight="1">
      <c r="D1165" s="5"/>
    </row>
    <row r="1166" ht="14.25" customHeight="1">
      <c r="D1166" s="5"/>
    </row>
    <row r="1167" ht="14.25" customHeight="1">
      <c r="D1167" s="5"/>
    </row>
    <row r="1168" ht="14.25" customHeight="1">
      <c r="D1168" s="5"/>
    </row>
    <row r="1169" ht="14.25" customHeight="1">
      <c r="D1169" s="5"/>
    </row>
    <row r="1170" ht="14.25" customHeight="1">
      <c r="D1170" s="5"/>
    </row>
    <row r="1171" ht="14.25" customHeight="1">
      <c r="D1171" s="5"/>
    </row>
    <row r="1172" ht="14.25" customHeight="1">
      <c r="D1172" s="5"/>
    </row>
    <row r="1173" ht="14.25" customHeight="1">
      <c r="D1173" s="5"/>
    </row>
    <row r="1174" ht="14.25" customHeight="1">
      <c r="D1174" s="5"/>
    </row>
    <row r="1175" ht="14.25" customHeight="1">
      <c r="D1175" s="5"/>
    </row>
    <row r="1176" ht="14.25" customHeight="1">
      <c r="D1176" s="5"/>
    </row>
    <row r="1177" ht="14.25" customHeight="1">
      <c r="D1177" s="5"/>
    </row>
    <row r="1178" ht="14.25" customHeight="1">
      <c r="D1178" s="5"/>
    </row>
    <row r="1179" ht="14.25" customHeight="1">
      <c r="D1179" s="5"/>
    </row>
    <row r="1180" ht="14.25" customHeight="1">
      <c r="D1180" s="5"/>
    </row>
    <row r="1181" ht="14.25" customHeight="1">
      <c r="D1181" s="5"/>
    </row>
    <row r="1182" ht="14.25" customHeight="1">
      <c r="D1182" s="5"/>
    </row>
    <row r="1183" ht="14.25" customHeight="1">
      <c r="D1183" s="5"/>
    </row>
    <row r="1184" ht="14.25" customHeight="1">
      <c r="D1184" s="5"/>
    </row>
    <row r="1185" ht="14.25" customHeight="1">
      <c r="D1185" s="5"/>
    </row>
    <row r="1186" ht="14.25" customHeight="1">
      <c r="D1186" s="5"/>
    </row>
    <row r="1187" ht="14.25" customHeight="1">
      <c r="D1187" s="5"/>
    </row>
    <row r="1188" ht="14.25" customHeight="1">
      <c r="D1188" s="5"/>
    </row>
    <row r="1189" ht="14.25" customHeight="1">
      <c r="D1189" s="5"/>
    </row>
    <row r="1190" ht="14.25" customHeight="1">
      <c r="D1190" s="5"/>
    </row>
    <row r="1191" ht="14.25" customHeight="1">
      <c r="D1191" s="5"/>
    </row>
    <row r="1192" ht="14.25" customHeight="1">
      <c r="D1192" s="5"/>
    </row>
    <row r="1193" ht="14.25" customHeight="1">
      <c r="D1193" s="5"/>
    </row>
    <row r="1194" ht="14.25" customHeight="1">
      <c r="D1194" s="5"/>
    </row>
    <row r="1195" ht="14.25" customHeight="1">
      <c r="D1195" s="5"/>
    </row>
    <row r="1196" ht="14.25" customHeight="1">
      <c r="D1196" s="5"/>
    </row>
    <row r="1197" ht="14.25" customHeight="1">
      <c r="D1197" s="5"/>
    </row>
    <row r="1198" ht="14.25" customHeight="1">
      <c r="D1198" s="5"/>
    </row>
    <row r="1199" ht="14.25" customHeight="1">
      <c r="D1199" s="5"/>
    </row>
    <row r="1200" ht="14.25" customHeight="1">
      <c r="D1200" s="5"/>
    </row>
    <row r="1201" ht="14.25" customHeight="1">
      <c r="D1201" s="5"/>
    </row>
    <row r="1202" ht="14.25" customHeight="1">
      <c r="D1202" s="5"/>
    </row>
    <row r="1203" ht="14.25" customHeight="1">
      <c r="D1203" s="5"/>
    </row>
    <row r="1204" ht="14.25" customHeight="1">
      <c r="D1204" s="5"/>
    </row>
    <row r="1205" ht="14.25" customHeight="1">
      <c r="D1205" s="5"/>
    </row>
    <row r="1206" ht="14.25" customHeight="1">
      <c r="D1206" s="5"/>
    </row>
    <row r="1207" ht="14.25" customHeight="1">
      <c r="D1207" s="5"/>
    </row>
    <row r="1208" ht="14.25" customHeight="1">
      <c r="D1208" s="5"/>
    </row>
    <row r="1209" ht="14.25" customHeight="1">
      <c r="D1209" s="5"/>
    </row>
    <row r="1210" ht="14.25" customHeight="1">
      <c r="D1210" s="5"/>
    </row>
    <row r="1211" ht="14.25" customHeight="1">
      <c r="D1211" s="5"/>
    </row>
    <row r="1212" ht="14.25" customHeight="1">
      <c r="D1212" s="5"/>
    </row>
    <row r="1213" ht="14.25" customHeight="1">
      <c r="D1213" s="5"/>
    </row>
    <row r="1214" ht="14.25" customHeight="1">
      <c r="D1214" s="5"/>
    </row>
    <row r="1215" ht="14.25" customHeight="1">
      <c r="D1215" s="5"/>
    </row>
    <row r="1216" ht="14.25" customHeight="1">
      <c r="D1216" s="5"/>
    </row>
    <row r="1217" ht="14.25" customHeight="1">
      <c r="D1217" s="5"/>
    </row>
    <row r="1218" ht="14.25" customHeight="1">
      <c r="D1218" s="5"/>
    </row>
    <row r="1219" ht="14.25" customHeight="1">
      <c r="D1219" s="5"/>
    </row>
    <row r="1220" ht="14.25" customHeight="1">
      <c r="D1220" s="5"/>
    </row>
    <row r="1221" ht="14.25" customHeight="1">
      <c r="D1221" s="5"/>
    </row>
    <row r="1222" ht="14.25" customHeight="1">
      <c r="D1222" s="5"/>
    </row>
    <row r="1223" ht="14.25" customHeight="1">
      <c r="D1223" s="5"/>
    </row>
    <row r="1224" ht="14.25" customHeight="1">
      <c r="D1224" s="5"/>
    </row>
    <row r="1225" ht="14.25" customHeight="1">
      <c r="D1225" s="5"/>
    </row>
    <row r="1226" ht="14.25" customHeight="1">
      <c r="D1226" s="5"/>
    </row>
    <row r="1227" ht="14.25" customHeight="1">
      <c r="D1227" s="5"/>
    </row>
    <row r="1228" ht="14.25" customHeight="1">
      <c r="D1228" s="5"/>
    </row>
    <row r="1229" ht="14.25" customHeight="1">
      <c r="D1229" s="5"/>
    </row>
    <row r="1230" ht="14.25" customHeight="1">
      <c r="D1230" s="5"/>
    </row>
    <row r="1231" ht="14.25" customHeight="1">
      <c r="D1231" s="5"/>
    </row>
    <row r="1232" ht="14.25" customHeight="1">
      <c r="D1232" s="5"/>
    </row>
    <row r="1233" ht="14.25" customHeight="1">
      <c r="D1233" s="5"/>
    </row>
    <row r="1234" ht="14.25" customHeight="1">
      <c r="D1234" s="5"/>
    </row>
    <row r="1235" ht="14.25" customHeight="1">
      <c r="D1235" s="5"/>
    </row>
    <row r="1236" ht="14.25" customHeight="1">
      <c r="D1236" s="5"/>
    </row>
    <row r="1237" ht="14.25" customHeight="1">
      <c r="D1237" s="5"/>
    </row>
    <row r="1238" ht="14.25" customHeight="1">
      <c r="D1238" s="5"/>
    </row>
    <row r="1239" ht="14.25" customHeight="1">
      <c r="D1239" s="5"/>
    </row>
    <row r="1240" ht="14.25" customHeight="1">
      <c r="D1240" s="5"/>
    </row>
    <row r="1241" ht="14.25" customHeight="1">
      <c r="D1241" s="5"/>
    </row>
    <row r="1242" ht="14.25" customHeight="1">
      <c r="D1242" s="5"/>
    </row>
    <row r="1243" ht="14.25" customHeight="1">
      <c r="D1243" s="5"/>
    </row>
    <row r="1244" ht="14.25" customHeight="1">
      <c r="D1244" s="5"/>
    </row>
    <row r="1245" ht="14.25" customHeight="1">
      <c r="D1245" s="5"/>
    </row>
    <row r="1246" ht="14.25" customHeight="1">
      <c r="D1246" s="5"/>
    </row>
    <row r="1247" ht="14.25" customHeight="1">
      <c r="D1247" s="5"/>
    </row>
    <row r="1248" ht="14.25" customHeight="1">
      <c r="D1248" s="5"/>
    </row>
    <row r="1249" ht="14.25" customHeight="1">
      <c r="D1249" s="5"/>
    </row>
    <row r="1250" ht="14.25" customHeight="1">
      <c r="D1250" s="5"/>
    </row>
    <row r="1251" ht="14.25" customHeight="1">
      <c r="D1251" s="5"/>
    </row>
    <row r="1252" ht="14.25" customHeight="1">
      <c r="D1252" s="5"/>
    </row>
    <row r="1253" ht="14.25" customHeight="1">
      <c r="D1253" s="5"/>
    </row>
    <row r="1254" ht="14.25" customHeight="1">
      <c r="D1254" s="5"/>
    </row>
    <row r="1255" ht="14.25" customHeight="1">
      <c r="D1255" s="5"/>
    </row>
    <row r="1256" ht="14.25" customHeight="1">
      <c r="D1256" s="5"/>
    </row>
    <row r="1257" ht="14.25" customHeight="1">
      <c r="D1257" s="5"/>
    </row>
    <row r="1258" ht="14.25" customHeight="1">
      <c r="D1258" s="5"/>
    </row>
    <row r="1259" ht="14.25" customHeight="1">
      <c r="D1259" s="5"/>
    </row>
    <row r="1260" ht="14.25" customHeight="1">
      <c r="D1260" s="5"/>
    </row>
    <row r="1261" ht="14.25" customHeight="1">
      <c r="D1261" s="5"/>
    </row>
    <row r="1262" ht="14.25" customHeight="1">
      <c r="D1262" s="5"/>
    </row>
    <row r="1263" ht="14.25" customHeight="1">
      <c r="D1263" s="5"/>
    </row>
    <row r="1264" ht="14.25" customHeight="1">
      <c r="D1264" s="5"/>
    </row>
    <row r="1265" ht="14.25" customHeight="1">
      <c r="D1265" s="5"/>
    </row>
    <row r="1266" ht="14.25" customHeight="1">
      <c r="D1266" s="5"/>
    </row>
    <row r="1267" ht="14.25" customHeight="1">
      <c r="D1267" s="5"/>
    </row>
    <row r="1268" ht="14.25" customHeight="1">
      <c r="D1268" s="5"/>
    </row>
    <row r="1269" ht="14.25" customHeight="1">
      <c r="D1269" s="5"/>
    </row>
    <row r="1270" ht="14.25" customHeight="1">
      <c r="D1270" s="5"/>
    </row>
    <row r="1271" ht="14.25" customHeight="1">
      <c r="D1271" s="5"/>
    </row>
    <row r="1272" ht="14.25" customHeight="1">
      <c r="D1272" s="5"/>
    </row>
    <row r="1273" ht="14.25" customHeight="1">
      <c r="D1273" s="5"/>
    </row>
    <row r="1274" ht="14.25" customHeight="1">
      <c r="D1274" s="5"/>
    </row>
    <row r="1275" ht="14.25" customHeight="1">
      <c r="D1275" s="5"/>
    </row>
    <row r="1276" ht="14.25" customHeight="1">
      <c r="D1276" s="5"/>
    </row>
    <row r="1277" ht="14.25" customHeight="1">
      <c r="D1277" s="5"/>
    </row>
    <row r="1278" ht="14.25" customHeight="1">
      <c r="D1278" s="5"/>
    </row>
    <row r="1279" ht="14.25" customHeight="1">
      <c r="D1279" s="5"/>
    </row>
    <row r="1280" ht="14.25" customHeight="1">
      <c r="D1280" s="5"/>
    </row>
    <row r="1281" ht="14.25" customHeight="1">
      <c r="D1281" s="5"/>
    </row>
    <row r="1282" ht="14.25" customHeight="1">
      <c r="D1282" s="5"/>
    </row>
    <row r="1283" ht="14.25" customHeight="1">
      <c r="D1283" s="5"/>
    </row>
    <row r="1284" ht="14.25" customHeight="1">
      <c r="D1284" s="5"/>
    </row>
    <row r="1285" ht="14.25" customHeight="1">
      <c r="D1285" s="5"/>
    </row>
    <row r="1286" ht="14.25" customHeight="1">
      <c r="D1286" s="5"/>
    </row>
    <row r="1287" ht="14.25" customHeight="1">
      <c r="D1287" s="5"/>
    </row>
    <row r="1288" ht="14.25" customHeight="1">
      <c r="D1288" s="5"/>
    </row>
    <row r="1289" ht="14.25" customHeight="1">
      <c r="D1289" s="5"/>
    </row>
    <row r="1290" ht="14.25" customHeight="1">
      <c r="D1290" s="5"/>
    </row>
    <row r="1291" ht="14.25" customHeight="1">
      <c r="D1291" s="5"/>
    </row>
    <row r="1292" ht="14.25" customHeight="1">
      <c r="D1292" s="5"/>
    </row>
    <row r="1293" ht="14.25" customHeight="1">
      <c r="D1293" s="5"/>
    </row>
    <row r="1294" ht="14.25" customHeight="1">
      <c r="D1294" s="5"/>
    </row>
    <row r="1295" ht="14.25" customHeight="1">
      <c r="D1295" s="5"/>
    </row>
    <row r="1296" ht="14.25" customHeight="1">
      <c r="D1296" s="5"/>
    </row>
    <row r="1297" ht="14.25" customHeight="1">
      <c r="D1297" s="5"/>
    </row>
    <row r="1298" ht="14.25" customHeight="1">
      <c r="D1298" s="5"/>
    </row>
    <row r="1299" ht="14.25" customHeight="1">
      <c r="D1299" s="5"/>
    </row>
    <row r="1300" ht="14.25" customHeight="1">
      <c r="D1300" s="5"/>
    </row>
    <row r="1301" ht="14.25" customHeight="1">
      <c r="D1301" s="5"/>
    </row>
    <row r="1302" ht="14.25" customHeight="1">
      <c r="D1302" s="5"/>
    </row>
    <row r="1303" ht="14.25" customHeight="1">
      <c r="D1303" s="5"/>
    </row>
    <row r="1304" ht="14.25" customHeight="1">
      <c r="D1304" s="5"/>
    </row>
    <row r="1305" ht="14.25" customHeight="1">
      <c r="D1305" s="5"/>
    </row>
    <row r="1306" ht="14.25" customHeight="1">
      <c r="D1306" s="5"/>
    </row>
    <row r="1307" ht="14.25" customHeight="1">
      <c r="D1307" s="5"/>
    </row>
    <row r="1308" ht="14.25" customHeight="1">
      <c r="D1308" s="5"/>
    </row>
    <row r="1309" ht="14.25" customHeight="1">
      <c r="D1309" s="5"/>
    </row>
    <row r="1310" ht="14.25" customHeight="1">
      <c r="D1310" s="5"/>
    </row>
    <row r="1311" ht="14.25" customHeight="1">
      <c r="D1311" s="5"/>
    </row>
    <row r="1312" ht="14.25" customHeight="1">
      <c r="D1312" s="5"/>
    </row>
    <row r="1313" ht="14.25" customHeight="1">
      <c r="D1313" s="5"/>
    </row>
    <row r="1314" ht="14.25" customHeight="1">
      <c r="D1314" s="5"/>
    </row>
    <row r="1315" ht="14.25" customHeight="1">
      <c r="D1315" s="5"/>
    </row>
    <row r="1316" ht="14.25" customHeight="1">
      <c r="D1316" s="5"/>
    </row>
    <row r="1317" ht="14.25" customHeight="1">
      <c r="D1317" s="5"/>
    </row>
    <row r="1318" ht="14.25" customHeight="1">
      <c r="D1318" s="5"/>
    </row>
    <row r="1319" ht="14.25" customHeight="1">
      <c r="D1319" s="5"/>
    </row>
    <row r="1320" ht="14.25" customHeight="1">
      <c r="D1320" s="5"/>
    </row>
    <row r="1321" ht="14.25" customHeight="1">
      <c r="D1321" s="5"/>
    </row>
    <row r="1322" ht="14.25" customHeight="1">
      <c r="D1322" s="5"/>
    </row>
    <row r="1323" ht="14.25" customHeight="1">
      <c r="D1323" s="5"/>
    </row>
    <row r="1324" ht="14.25" customHeight="1">
      <c r="D1324" s="5"/>
    </row>
    <row r="1325" ht="14.25" customHeight="1">
      <c r="D1325" s="5"/>
    </row>
    <row r="1326" ht="14.25" customHeight="1">
      <c r="D1326" s="5"/>
    </row>
    <row r="1327" ht="14.25" customHeight="1">
      <c r="D1327" s="5"/>
    </row>
    <row r="1328" ht="14.25" customHeight="1">
      <c r="D1328" s="5"/>
    </row>
    <row r="1329" ht="14.25" customHeight="1">
      <c r="D1329" s="5"/>
    </row>
    <row r="1330" ht="14.25" customHeight="1">
      <c r="D1330" s="5"/>
    </row>
    <row r="1331" ht="14.25" customHeight="1">
      <c r="D1331" s="5"/>
    </row>
    <row r="1332" ht="14.25" customHeight="1">
      <c r="D1332" s="5"/>
    </row>
    <row r="1333" ht="14.25" customHeight="1">
      <c r="D1333" s="5"/>
    </row>
    <row r="1334" ht="14.25" customHeight="1">
      <c r="D1334" s="5"/>
    </row>
    <row r="1335" ht="14.25" customHeight="1">
      <c r="D1335" s="5"/>
    </row>
    <row r="1336" ht="14.25" customHeight="1">
      <c r="D1336" s="5"/>
    </row>
    <row r="1337" ht="14.25" customHeight="1">
      <c r="D1337" s="5"/>
    </row>
    <row r="1338" ht="14.25" customHeight="1">
      <c r="D1338" s="5"/>
    </row>
    <row r="1339" ht="14.25" customHeight="1">
      <c r="D1339" s="5"/>
    </row>
    <row r="1340" ht="14.25" customHeight="1">
      <c r="D1340" s="5"/>
    </row>
    <row r="1341" ht="14.25" customHeight="1">
      <c r="D1341" s="5"/>
    </row>
    <row r="1342" ht="14.25" customHeight="1">
      <c r="D1342" s="5"/>
    </row>
    <row r="1343" ht="14.25" customHeight="1">
      <c r="D1343" s="5"/>
    </row>
    <row r="1344" ht="14.25" customHeight="1">
      <c r="D1344" s="5"/>
    </row>
    <row r="1345" ht="14.25" customHeight="1">
      <c r="D1345" s="5"/>
    </row>
    <row r="1346" ht="14.25" customHeight="1">
      <c r="D1346" s="5"/>
    </row>
    <row r="1347" ht="14.25" customHeight="1">
      <c r="D1347" s="5"/>
    </row>
    <row r="1348" ht="14.25" customHeight="1">
      <c r="D1348" s="5"/>
    </row>
    <row r="1349" ht="14.25" customHeight="1">
      <c r="D1349" s="5"/>
    </row>
    <row r="1350" ht="14.25" customHeight="1">
      <c r="D1350" s="5"/>
    </row>
    <row r="1351" ht="14.25" customHeight="1">
      <c r="D1351" s="5"/>
    </row>
    <row r="1352" ht="14.25" customHeight="1">
      <c r="D1352" s="5"/>
    </row>
    <row r="1353" ht="14.25" customHeight="1">
      <c r="D1353" s="5"/>
    </row>
    <row r="1354" ht="14.25" customHeight="1">
      <c r="D1354" s="5"/>
    </row>
    <row r="1355" ht="14.25" customHeight="1">
      <c r="D1355" s="5"/>
    </row>
    <row r="1356" ht="14.25" customHeight="1">
      <c r="D1356" s="5"/>
    </row>
    <row r="1357" ht="14.25" customHeight="1">
      <c r="D1357" s="5"/>
    </row>
    <row r="1358" ht="14.25" customHeight="1">
      <c r="D1358" s="5"/>
    </row>
    <row r="1359" ht="14.25" customHeight="1">
      <c r="D1359" s="5"/>
    </row>
    <row r="1360" ht="14.25" customHeight="1">
      <c r="D1360" s="5"/>
    </row>
    <row r="1361" ht="14.25" customHeight="1">
      <c r="D1361" s="5"/>
    </row>
    <row r="1362" ht="14.25" customHeight="1">
      <c r="D1362" s="5"/>
    </row>
    <row r="1363" ht="14.25" customHeight="1">
      <c r="D1363" s="5"/>
    </row>
    <row r="1364" ht="14.25" customHeight="1">
      <c r="D1364" s="5"/>
    </row>
    <row r="1365" ht="14.25" customHeight="1">
      <c r="D1365" s="5"/>
    </row>
    <row r="1366" ht="14.25" customHeight="1">
      <c r="D1366" s="5"/>
    </row>
    <row r="1367" ht="14.25" customHeight="1">
      <c r="D1367" s="5"/>
    </row>
    <row r="1368" ht="14.25" customHeight="1">
      <c r="D1368" s="5"/>
    </row>
    <row r="1369" ht="14.25" customHeight="1">
      <c r="D1369" s="5"/>
    </row>
    <row r="1370" ht="14.25" customHeight="1">
      <c r="D1370" s="5"/>
    </row>
    <row r="1371" ht="14.25" customHeight="1">
      <c r="D1371" s="5"/>
    </row>
    <row r="1372" ht="14.25" customHeight="1">
      <c r="D1372" s="5"/>
    </row>
    <row r="1373" ht="14.25" customHeight="1">
      <c r="D1373" s="5"/>
    </row>
    <row r="1374" ht="14.25" customHeight="1">
      <c r="D1374" s="5"/>
    </row>
    <row r="1375" ht="14.25" customHeight="1">
      <c r="D1375" s="5"/>
    </row>
    <row r="1376" ht="14.25" customHeight="1">
      <c r="D1376" s="5"/>
    </row>
    <row r="1377" ht="14.25" customHeight="1">
      <c r="D1377" s="5"/>
    </row>
    <row r="1378" ht="14.25" customHeight="1">
      <c r="D1378" s="5"/>
    </row>
    <row r="1379" ht="14.25" customHeight="1">
      <c r="D1379" s="5"/>
    </row>
    <row r="1380" ht="14.25" customHeight="1">
      <c r="D1380" s="5"/>
    </row>
    <row r="1381" ht="14.25" customHeight="1">
      <c r="D1381" s="5"/>
    </row>
    <row r="1382" ht="14.25" customHeight="1">
      <c r="D1382" s="5"/>
    </row>
    <row r="1383" ht="14.25" customHeight="1">
      <c r="D1383" s="5"/>
    </row>
    <row r="1384" ht="14.25" customHeight="1">
      <c r="D1384" s="5"/>
    </row>
    <row r="1385" ht="14.25" customHeight="1">
      <c r="D1385" s="5"/>
    </row>
    <row r="1386" ht="14.25" customHeight="1">
      <c r="D1386" s="5"/>
    </row>
    <row r="1387" ht="14.25" customHeight="1">
      <c r="D1387" s="5"/>
    </row>
    <row r="1388" ht="14.25" customHeight="1">
      <c r="D1388" s="5"/>
    </row>
    <row r="1389" ht="14.25" customHeight="1">
      <c r="D1389" s="5"/>
    </row>
    <row r="1390" ht="14.25" customHeight="1">
      <c r="D1390" s="5"/>
    </row>
    <row r="1391" ht="14.25" customHeight="1">
      <c r="D1391" s="5"/>
    </row>
    <row r="1392" ht="14.25" customHeight="1">
      <c r="D1392" s="5"/>
    </row>
    <row r="1393" ht="14.25" customHeight="1">
      <c r="D1393" s="5"/>
    </row>
    <row r="1394" ht="14.25" customHeight="1">
      <c r="D1394" s="5"/>
    </row>
    <row r="1395" ht="14.25" customHeight="1">
      <c r="D1395" s="5"/>
    </row>
    <row r="1396" ht="14.25" customHeight="1">
      <c r="D1396" s="5"/>
    </row>
    <row r="1397" ht="14.25" customHeight="1">
      <c r="D1397" s="5"/>
    </row>
    <row r="1398" ht="14.25" customHeight="1">
      <c r="D1398" s="5"/>
    </row>
    <row r="1399" ht="14.25" customHeight="1">
      <c r="D1399" s="5"/>
    </row>
    <row r="1400" ht="14.25" customHeight="1">
      <c r="D1400" s="5"/>
    </row>
    <row r="1401" ht="14.25" customHeight="1">
      <c r="D1401" s="5"/>
    </row>
    <row r="1402" ht="14.25" customHeight="1">
      <c r="D1402" s="5"/>
    </row>
    <row r="1403" ht="14.25" customHeight="1">
      <c r="D1403" s="5"/>
    </row>
    <row r="1404" ht="14.25" customHeight="1">
      <c r="D1404" s="5"/>
    </row>
    <row r="1405" ht="14.25" customHeight="1">
      <c r="D1405" s="5"/>
    </row>
    <row r="1406" ht="14.25" customHeight="1">
      <c r="D1406" s="5"/>
    </row>
    <row r="1407" ht="14.25" customHeight="1">
      <c r="D1407" s="5"/>
    </row>
    <row r="1408" ht="14.25" customHeight="1">
      <c r="D1408" s="5"/>
    </row>
    <row r="1409" ht="14.25" customHeight="1">
      <c r="D1409" s="5"/>
    </row>
    <row r="1410" ht="14.25" customHeight="1">
      <c r="D1410" s="5"/>
    </row>
    <row r="1411" ht="14.25" customHeight="1">
      <c r="D1411" s="5"/>
    </row>
    <row r="1412" ht="14.25" customHeight="1">
      <c r="D1412" s="5"/>
    </row>
    <row r="1413" ht="14.25" customHeight="1">
      <c r="D1413" s="5"/>
    </row>
    <row r="1414" ht="14.25" customHeight="1">
      <c r="D1414" s="5"/>
    </row>
    <row r="1415" ht="14.25" customHeight="1">
      <c r="D1415" s="5"/>
    </row>
    <row r="1416" ht="14.25" customHeight="1">
      <c r="D1416" s="5"/>
    </row>
    <row r="1417" ht="14.25" customHeight="1">
      <c r="D1417" s="5"/>
    </row>
    <row r="1418" ht="14.25" customHeight="1">
      <c r="D1418" s="5"/>
    </row>
    <row r="1419" ht="14.25" customHeight="1">
      <c r="D1419" s="5"/>
    </row>
    <row r="1420" ht="14.25" customHeight="1">
      <c r="D1420" s="5"/>
    </row>
    <row r="1421" ht="14.25" customHeight="1">
      <c r="D1421" s="5"/>
    </row>
    <row r="1422" ht="14.25" customHeight="1">
      <c r="D1422" s="5"/>
    </row>
    <row r="1423" ht="14.25" customHeight="1">
      <c r="D1423" s="5"/>
    </row>
    <row r="1424" ht="14.25" customHeight="1">
      <c r="D1424" s="5"/>
    </row>
    <row r="1425" ht="14.25" customHeight="1">
      <c r="D1425" s="5"/>
    </row>
    <row r="1426" ht="14.25" customHeight="1">
      <c r="D1426" s="5"/>
    </row>
    <row r="1427" ht="14.25" customHeight="1">
      <c r="D1427" s="5"/>
    </row>
    <row r="1428" ht="14.25" customHeight="1">
      <c r="D1428" s="5"/>
    </row>
    <row r="1429" ht="14.25" customHeight="1">
      <c r="D1429" s="5"/>
    </row>
    <row r="1430" ht="14.25" customHeight="1">
      <c r="D1430" s="5"/>
    </row>
    <row r="1431" ht="14.25" customHeight="1">
      <c r="D1431" s="5"/>
    </row>
    <row r="1432" ht="14.25" customHeight="1">
      <c r="D1432" s="5"/>
    </row>
    <row r="1433" ht="14.25" customHeight="1">
      <c r="D1433" s="5"/>
    </row>
    <row r="1434" ht="14.25" customHeight="1">
      <c r="D1434" s="5"/>
    </row>
    <row r="1435" ht="14.25" customHeight="1">
      <c r="D1435" s="5"/>
    </row>
    <row r="1436" ht="14.25" customHeight="1">
      <c r="D1436" s="5"/>
    </row>
    <row r="1437" ht="14.25" customHeight="1">
      <c r="D1437" s="5"/>
    </row>
    <row r="1438" ht="14.25" customHeight="1">
      <c r="D1438" s="5"/>
    </row>
    <row r="1439" ht="14.25" customHeight="1">
      <c r="D1439" s="5"/>
    </row>
    <row r="1440" ht="14.25" customHeight="1">
      <c r="D1440" s="5"/>
    </row>
    <row r="1441" ht="14.25" customHeight="1">
      <c r="D1441" s="5"/>
    </row>
    <row r="1442" ht="14.25" customHeight="1">
      <c r="D1442" s="5"/>
    </row>
    <row r="1443" ht="14.25" customHeight="1">
      <c r="D1443" s="5"/>
    </row>
    <row r="1444" ht="14.25" customHeight="1">
      <c r="D1444" s="5"/>
    </row>
    <row r="1445" ht="14.25" customHeight="1">
      <c r="D1445" s="5"/>
    </row>
    <row r="1446" ht="14.25" customHeight="1">
      <c r="D1446" s="5"/>
    </row>
    <row r="1447" ht="14.25" customHeight="1">
      <c r="D1447" s="5"/>
    </row>
    <row r="1448" ht="14.25" customHeight="1">
      <c r="D1448" s="5"/>
    </row>
    <row r="1449" ht="14.25" customHeight="1">
      <c r="D1449" s="5"/>
    </row>
    <row r="1450" ht="14.25" customHeight="1">
      <c r="D1450" s="5"/>
    </row>
    <row r="1451" ht="14.25" customHeight="1">
      <c r="D1451" s="5"/>
    </row>
    <row r="1452" ht="14.25" customHeight="1">
      <c r="D1452" s="5"/>
    </row>
    <row r="1453" ht="14.25" customHeight="1">
      <c r="D1453" s="5"/>
    </row>
    <row r="1454" ht="14.25" customHeight="1">
      <c r="D1454" s="5"/>
    </row>
    <row r="1455" ht="14.25" customHeight="1">
      <c r="D1455" s="5"/>
    </row>
    <row r="1456" ht="14.25" customHeight="1">
      <c r="D1456" s="5"/>
    </row>
    <row r="1457" ht="14.25" customHeight="1">
      <c r="D1457" s="5"/>
    </row>
    <row r="1458" ht="14.25" customHeight="1">
      <c r="D1458" s="5"/>
    </row>
    <row r="1459" ht="14.25" customHeight="1">
      <c r="D1459" s="5"/>
    </row>
    <row r="1460" ht="14.25" customHeight="1">
      <c r="D1460" s="5"/>
    </row>
    <row r="1461" ht="14.25" customHeight="1">
      <c r="D1461" s="5"/>
    </row>
    <row r="1462" ht="14.25" customHeight="1">
      <c r="D1462" s="5"/>
    </row>
    <row r="1463" ht="14.25" customHeight="1">
      <c r="D1463" s="5"/>
    </row>
    <row r="1464" ht="14.25" customHeight="1">
      <c r="D1464" s="5"/>
    </row>
    <row r="1465" ht="14.25" customHeight="1">
      <c r="D1465" s="5"/>
    </row>
    <row r="1466" ht="14.25" customHeight="1">
      <c r="D1466" s="5"/>
    </row>
    <row r="1467" ht="14.25" customHeight="1">
      <c r="D1467" s="5"/>
    </row>
    <row r="1468" ht="14.25" customHeight="1">
      <c r="D1468" s="5"/>
    </row>
    <row r="1469" ht="14.25" customHeight="1">
      <c r="D1469" s="5"/>
    </row>
    <row r="1470" ht="14.25" customHeight="1">
      <c r="D1470" s="5"/>
    </row>
    <row r="1471" ht="14.25" customHeight="1">
      <c r="D1471" s="5"/>
    </row>
    <row r="1472" ht="14.25" customHeight="1">
      <c r="D1472" s="5"/>
    </row>
    <row r="1473" ht="14.25" customHeight="1">
      <c r="D1473" s="5"/>
    </row>
    <row r="1474" ht="14.25" customHeight="1">
      <c r="D1474" s="5"/>
    </row>
    <row r="1475" ht="14.25" customHeight="1">
      <c r="D1475" s="5"/>
    </row>
    <row r="1476" ht="14.25" customHeight="1">
      <c r="D1476" s="5"/>
    </row>
    <row r="1477" ht="14.25" customHeight="1">
      <c r="D1477" s="5"/>
    </row>
    <row r="1478" ht="14.25" customHeight="1">
      <c r="D1478" s="5"/>
    </row>
    <row r="1479" ht="14.25" customHeight="1">
      <c r="D1479" s="5"/>
    </row>
    <row r="1480" ht="14.25" customHeight="1">
      <c r="D1480" s="5"/>
    </row>
    <row r="1481" ht="14.25" customHeight="1">
      <c r="D1481" s="5"/>
    </row>
    <row r="1482" ht="14.25" customHeight="1">
      <c r="D1482" s="5"/>
    </row>
    <row r="1483" ht="14.25" customHeight="1">
      <c r="D1483" s="5"/>
    </row>
    <row r="1484" ht="14.25" customHeight="1">
      <c r="D1484" s="5"/>
    </row>
    <row r="1485" ht="14.25" customHeight="1">
      <c r="D1485" s="5"/>
    </row>
    <row r="1486" ht="14.25" customHeight="1">
      <c r="D1486" s="5"/>
    </row>
    <row r="1487" ht="14.25" customHeight="1">
      <c r="D1487" s="5"/>
    </row>
    <row r="1488" ht="14.25" customHeight="1">
      <c r="D1488" s="5"/>
    </row>
    <row r="1489" ht="14.25" customHeight="1">
      <c r="D1489" s="5"/>
    </row>
    <row r="1490" ht="14.25" customHeight="1">
      <c r="D1490" s="5"/>
    </row>
    <row r="1491" ht="14.25" customHeight="1">
      <c r="D1491" s="5"/>
    </row>
    <row r="1492" ht="14.25" customHeight="1">
      <c r="D1492" s="5"/>
    </row>
    <row r="1493" ht="14.25" customHeight="1">
      <c r="D1493" s="5"/>
    </row>
    <row r="1494" ht="14.25" customHeight="1">
      <c r="D1494" s="5"/>
    </row>
    <row r="1495" ht="14.25" customHeight="1">
      <c r="D1495" s="5"/>
    </row>
    <row r="1496" ht="14.25" customHeight="1">
      <c r="D1496" s="5"/>
    </row>
    <row r="1497" ht="14.25" customHeight="1">
      <c r="D1497" s="5"/>
    </row>
    <row r="1498" ht="14.25" customHeight="1">
      <c r="D1498" s="5"/>
    </row>
    <row r="1499" ht="14.25" customHeight="1">
      <c r="D1499" s="5"/>
    </row>
    <row r="1500" ht="14.25" customHeight="1">
      <c r="D1500" s="5"/>
    </row>
    <row r="1501" ht="14.25" customHeight="1">
      <c r="D1501" s="5"/>
    </row>
    <row r="1502" ht="14.25" customHeight="1">
      <c r="D1502" s="5"/>
    </row>
    <row r="1503" ht="14.25" customHeight="1">
      <c r="D1503" s="5"/>
    </row>
    <row r="1504" ht="14.25" customHeight="1">
      <c r="D1504" s="5"/>
    </row>
    <row r="1505" ht="14.25" customHeight="1">
      <c r="D1505" s="5"/>
    </row>
    <row r="1506" ht="14.25" customHeight="1">
      <c r="D1506" s="5"/>
    </row>
    <row r="1507" ht="14.25" customHeight="1">
      <c r="D1507" s="5"/>
    </row>
    <row r="1508" ht="14.25" customHeight="1">
      <c r="D1508" s="5"/>
    </row>
    <row r="1509" ht="14.25" customHeight="1">
      <c r="D1509" s="5"/>
    </row>
    <row r="1510" ht="14.25" customHeight="1">
      <c r="D1510" s="5"/>
    </row>
    <row r="1511" ht="14.25" customHeight="1">
      <c r="D1511" s="5"/>
    </row>
    <row r="1512" ht="14.25" customHeight="1">
      <c r="D1512" s="5"/>
    </row>
    <row r="1513" ht="14.25" customHeight="1">
      <c r="D1513" s="5"/>
    </row>
    <row r="1514" ht="14.25" customHeight="1">
      <c r="D1514" s="5"/>
    </row>
    <row r="1515" ht="14.25" customHeight="1">
      <c r="D1515" s="5"/>
    </row>
    <row r="1516" ht="14.25" customHeight="1">
      <c r="D1516" s="5"/>
    </row>
    <row r="1517" ht="14.25" customHeight="1">
      <c r="D1517" s="5"/>
    </row>
    <row r="1518" ht="14.25" customHeight="1">
      <c r="D1518" s="5"/>
    </row>
    <row r="1519" ht="14.25" customHeight="1">
      <c r="D1519" s="5"/>
    </row>
    <row r="1520" ht="14.25" customHeight="1">
      <c r="D1520" s="5"/>
    </row>
    <row r="1521" ht="14.25" customHeight="1">
      <c r="D1521" s="5"/>
    </row>
    <row r="1522" ht="14.25" customHeight="1">
      <c r="D1522" s="5"/>
    </row>
    <row r="1523" ht="14.25" customHeight="1">
      <c r="D1523" s="5"/>
    </row>
    <row r="1524" ht="14.25" customHeight="1">
      <c r="D1524" s="5"/>
    </row>
    <row r="1525" ht="14.25" customHeight="1">
      <c r="D1525" s="5"/>
    </row>
    <row r="1526" ht="14.25" customHeight="1">
      <c r="D1526" s="5"/>
    </row>
    <row r="1527" ht="14.25" customHeight="1">
      <c r="D1527" s="5"/>
    </row>
    <row r="1528" ht="14.25" customHeight="1">
      <c r="D1528" s="5"/>
    </row>
    <row r="1529" ht="14.25" customHeight="1">
      <c r="D1529" s="5"/>
    </row>
    <row r="1530" ht="14.25" customHeight="1">
      <c r="D1530" s="5"/>
    </row>
    <row r="1531" ht="14.25" customHeight="1">
      <c r="D1531" s="5"/>
    </row>
    <row r="1532" ht="14.25" customHeight="1">
      <c r="D1532" s="5"/>
    </row>
    <row r="1533" ht="14.25" customHeight="1">
      <c r="D1533" s="5"/>
    </row>
    <row r="1534" ht="14.25" customHeight="1">
      <c r="D1534" s="5"/>
    </row>
    <row r="1535" ht="14.25" customHeight="1">
      <c r="D1535" s="5"/>
    </row>
    <row r="1536" ht="14.25" customHeight="1">
      <c r="D1536" s="5"/>
    </row>
    <row r="1537" ht="14.25" customHeight="1">
      <c r="D1537" s="5"/>
    </row>
    <row r="1538" ht="14.25" customHeight="1">
      <c r="D1538" s="5"/>
    </row>
    <row r="1539" ht="14.25" customHeight="1">
      <c r="D1539" s="5"/>
    </row>
    <row r="1540" ht="14.25" customHeight="1">
      <c r="D1540" s="5"/>
    </row>
    <row r="1541" ht="14.25" customHeight="1">
      <c r="D1541" s="5"/>
    </row>
    <row r="1542" ht="14.25" customHeight="1">
      <c r="D1542" s="5"/>
    </row>
    <row r="1543" ht="14.25" customHeight="1">
      <c r="D1543" s="5"/>
    </row>
    <row r="1544" ht="14.25" customHeight="1">
      <c r="D1544" s="5"/>
    </row>
    <row r="1545" ht="14.25" customHeight="1">
      <c r="D1545" s="5"/>
    </row>
    <row r="1546" ht="14.25" customHeight="1">
      <c r="D1546" s="5"/>
    </row>
    <row r="1547" ht="14.25" customHeight="1">
      <c r="D1547" s="5"/>
    </row>
    <row r="1548" ht="14.25" customHeight="1">
      <c r="D1548" s="5"/>
    </row>
    <row r="1549" ht="14.25" customHeight="1">
      <c r="D1549" s="5"/>
    </row>
    <row r="1550" ht="14.25" customHeight="1">
      <c r="D1550" s="5"/>
    </row>
    <row r="1551" ht="14.25" customHeight="1">
      <c r="D1551" s="5"/>
    </row>
    <row r="1552" ht="14.25" customHeight="1">
      <c r="D1552" s="5"/>
    </row>
    <row r="1553" ht="14.25" customHeight="1">
      <c r="D1553" s="5"/>
    </row>
    <row r="1554" ht="14.25" customHeight="1">
      <c r="D1554" s="5"/>
    </row>
    <row r="1555" ht="14.25" customHeight="1">
      <c r="D1555" s="5"/>
    </row>
    <row r="1556" ht="14.25" customHeight="1">
      <c r="D1556" s="5"/>
    </row>
    <row r="1557" ht="14.25" customHeight="1">
      <c r="D1557" s="5"/>
    </row>
    <row r="1558" ht="14.25" customHeight="1">
      <c r="D1558" s="5"/>
    </row>
    <row r="1559" ht="14.25" customHeight="1">
      <c r="D1559" s="5"/>
    </row>
    <row r="1560" ht="14.25" customHeight="1">
      <c r="D1560" s="5"/>
    </row>
    <row r="1561" ht="14.25" customHeight="1">
      <c r="D1561" s="5"/>
    </row>
    <row r="1562" ht="14.25" customHeight="1">
      <c r="D1562" s="5"/>
    </row>
    <row r="1563" ht="14.25" customHeight="1">
      <c r="D1563" s="5"/>
    </row>
    <row r="1564" ht="14.25" customHeight="1">
      <c r="D1564" s="5"/>
    </row>
    <row r="1565" ht="14.25" customHeight="1">
      <c r="D1565" s="5"/>
    </row>
    <row r="1566" ht="14.25" customHeight="1">
      <c r="D1566" s="5"/>
    </row>
    <row r="1567" ht="14.25" customHeight="1">
      <c r="D1567" s="5"/>
    </row>
    <row r="1568" ht="14.25" customHeight="1">
      <c r="D1568" s="5"/>
    </row>
    <row r="1569" ht="14.25" customHeight="1">
      <c r="D1569" s="5"/>
    </row>
    <row r="1570" ht="14.25" customHeight="1">
      <c r="D1570" s="5"/>
    </row>
    <row r="1571" ht="14.25" customHeight="1">
      <c r="D1571" s="5"/>
    </row>
    <row r="1572" ht="14.25" customHeight="1">
      <c r="D1572" s="5"/>
    </row>
    <row r="1573" ht="14.25" customHeight="1">
      <c r="D1573" s="5"/>
    </row>
    <row r="1574" ht="14.25" customHeight="1">
      <c r="D1574" s="5"/>
    </row>
    <row r="1575" ht="14.25" customHeight="1">
      <c r="D1575" s="5"/>
    </row>
    <row r="1576" ht="14.25" customHeight="1">
      <c r="D1576" s="5"/>
    </row>
    <row r="1577" ht="14.25" customHeight="1">
      <c r="D1577" s="5"/>
    </row>
    <row r="1578" ht="14.25" customHeight="1">
      <c r="D1578" s="5"/>
    </row>
    <row r="1579" ht="14.25" customHeight="1">
      <c r="D1579" s="5"/>
    </row>
    <row r="1580" ht="14.25" customHeight="1">
      <c r="D1580" s="5"/>
    </row>
    <row r="1581" ht="14.25" customHeight="1">
      <c r="D1581" s="5"/>
    </row>
    <row r="1582" ht="14.25" customHeight="1">
      <c r="D1582" s="5"/>
    </row>
    <row r="1583" ht="14.25" customHeight="1">
      <c r="D1583" s="5"/>
    </row>
    <row r="1584" ht="14.25" customHeight="1">
      <c r="D1584" s="5"/>
    </row>
    <row r="1585" ht="14.25" customHeight="1">
      <c r="D1585" s="5"/>
    </row>
    <row r="1586" ht="14.25" customHeight="1">
      <c r="D1586" s="5"/>
    </row>
    <row r="1587" ht="14.25" customHeight="1">
      <c r="D1587" s="5"/>
    </row>
    <row r="1588" ht="14.25" customHeight="1">
      <c r="D1588" s="5"/>
    </row>
    <row r="1589" ht="14.25" customHeight="1">
      <c r="D1589" s="5"/>
    </row>
    <row r="1590" ht="14.25" customHeight="1">
      <c r="D1590" s="5"/>
    </row>
    <row r="1591" ht="14.25" customHeight="1">
      <c r="D1591" s="5"/>
    </row>
    <row r="1592" ht="14.25" customHeight="1">
      <c r="D1592" s="5"/>
    </row>
    <row r="1593" ht="14.25" customHeight="1">
      <c r="D1593" s="5"/>
    </row>
    <row r="1594" ht="14.25" customHeight="1">
      <c r="D1594" s="5"/>
    </row>
    <row r="1595" ht="14.25" customHeight="1">
      <c r="D1595" s="5"/>
    </row>
    <row r="1596" ht="14.25" customHeight="1">
      <c r="D1596" s="5"/>
    </row>
    <row r="1597" ht="14.25" customHeight="1">
      <c r="D1597" s="5"/>
    </row>
    <row r="1598" ht="14.25" customHeight="1">
      <c r="D1598" s="5"/>
    </row>
    <row r="1599" ht="14.25" customHeight="1">
      <c r="D1599" s="5"/>
    </row>
    <row r="1600" ht="14.25" customHeight="1">
      <c r="D1600" s="5"/>
    </row>
    <row r="1601" ht="14.25" customHeight="1">
      <c r="D1601" s="5"/>
    </row>
    <row r="1602" ht="14.25" customHeight="1">
      <c r="D1602" s="5"/>
    </row>
    <row r="1603" ht="14.25" customHeight="1">
      <c r="D1603" s="5"/>
    </row>
    <row r="1604" ht="14.25" customHeight="1">
      <c r="D1604" s="5"/>
    </row>
    <row r="1605" ht="14.25" customHeight="1">
      <c r="D1605" s="5"/>
    </row>
    <row r="1606" ht="14.25" customHeight="1">
      <c r="D1606" s="5"/>
    </row>
    <row r="1607" ht="14.25" customHeight="1">
      <c r="D1607" s="5"/>
    </row>
    <row r="1608" ht="14.25" customHeight="1">
      <c r="D1608" s="5"/>
    </row>
    <row r="1609" ht="14.25" customHeight="1">
      <c r="D1609" s="5"/>
    </row>
    <row r="1610" ht="14.25" customHeight="1">
      <c r="D1610" s="5"/>
    </row>
    <row r="1611" ht="14.25" customHeight="1">
      <c r="D1611" s="5"/>
    </row>
    <row r="1612" ht="14.25" customHeight="1">
      <c r="D1612" s="5"/>
    </row>
    <row r="1613" ht="14.25" customHeight="1">
      <c r="D1613" s="5"/>
    </row>
    <row r="1614" ht="14.25" customHeight="1">
      <c r="D1614" s="5"/>
    </row>
    <row r="1615" ht="14.25" customHeight="1">
      <c r="D1615" s="5"/>
    </row>
    <row r="1616" ht="14.25" customHeight="1">
      <c r="D1616" s="5"/>
    </row>
    <row r="1617" ht="14.25" customHeight="1">
      <c r="D1617" s="5"/>
    </row>
    <row r="1618" ht="14.25" customHeight="1">
      <c r="D1618" s="5"/>
    </row>
    <row r="1619" ht="14.25" customHeight="1">
      <c r="D1619" s="5"/>
    </row>
    <row r="1620" ht="14.25" customHeight="1">
      <c r="D1620" s="5"/>
    </row>
    <row r="1621" ht="14.25" customHeight="1">
      <c r="D1621" s="5"/>
    </row>
    <row r="1622" ht="14.25" customHeight="1">
      <c r="D1622" s="5"/>
    </row>
    <row r="1623" ht="14.25" customHeight="1">
      <c r="D1623" s="5"/>
    </row>
    <row r="1624" ht="14.25" customHeight="1">
      <c r="D1624" s="5"/>
    </row>
    <row r="1625" ht="14.25" customHeight="1">
      <c r="D1625" s="5"/>
    </row>
    <row r="1626" ht="14.25" customHeight="1">
      <c r="D1626" s="5"/>
    </row>
    <row r="1627" ht="14.25" customHeight="1">
      <c r="D1627" s="5"/>
    </row>
    <row r="1628" ht="14.25" customHeight="1">
      <c r="D1628" s="5"/>
    </row>
    <row r="1629" ht="14.25" customHeight="1">
      <c r="D1629" s="5"/>
    </row>
    <row r="1630" ht="14.25" customHeight="1">
      <c r="D1630" s="5"/>
    </row>
    <row r="1631" ht="14.25" customHeight="1">
      <c r="D1631" s="5"/>
    </row>
    <row r="1632" ht="14.25" customHeight="1">
      <c r="D1632" s="5"/>
    </row>
    <row r="1633" ht="14.25" customHeight="1">
      <c r="D1633" s="5"/>
    </row>
    <row r="1634" ht="14.25" customHeight="1">
      <c r="D1634" s="5"/>
    </row>
    <row r="1635" ht="14.25" customHeight="1">
      <c r="D1635" s="5"/>
    </row>
    <row r="1636" ht="14.25" customHeight="1">
      <c r="D1636" s="5"/>
    </row>
    <row r="1637" ht="14.25" customHeight="1">
      <c r="D1637" s="5"/>
    </row>
    <row r="1638" ht="14.25" customHeight="1">
      <c r="D1638" s="5"/>
    </row>
    <row r="1639" ht="14.25" customHeight="1">
      <c r="D1639" s="5"/>
    </row>
    <row r="1640" ht="14.25" customHeight="1">
      <c r="D1640" s="5"/>
    </row>
    <row r="1641" ht="14.25" customHeight="1">
      <c r="D1641" s="5"/>
    </row>
    <row r="1642" ht="14.25" customHeight="1">
      <c r="D1642" s="5"/>
    </row>
    <row r="1643" ht="14.25" customHeight="1">
      <c r="D1643" s="5"/>
    </row>
    <row r="1644" ht="14.25" customHeight="1">
      <c r="D1644" s="5"/>
    </row>
    <row r="1645" ht="14.25" customHeight="1">
      <c r="D1645" s="5"/>
    </row>
    <row r="1646" ht="14.25" customHeight="1">
      <c r="D1646" s="5"/>
    </row>
    <row r="1647" ht="14.25" customHeight="1">
      <c r="D1647" s="5"/>
    </row>
    <row r="1648" ht="14.25" customHeight="1">
      <c r="D1648" s="5"/>
    </row>
    <row r="1649" ht="14.25" customHeight="1">
      <c r="D1649" s="5"/>
    </row>
    <row r="1650" ht="14.25" customHeight="1">
      <c r="D1650" s="5"/>
    </row>
    <row r="1651" ht="14.25" customHeight="1">
      <c r="D1651" s="5"/>
    </row>
    <row r="1652" ht="14.25" customHeight="1">
      <c r="D1652" s="5"/>
    </row>
    <row r="1653" ht="14.25" customHeight="1">
      <c r="D1653" s="5"/>
    </row>
    <row r="1654" ht="14.25" customHeight="1">
      <c r="D1654" s="5"/>
    </row>
    <row r="1655" ht="14.25" customHeight="1">
      <c r="D1655" s="5"/>
    </row>
    <row r="1656" ht="14.25" customHeight="1">
      <c r="D1656" s="5"/>
    </row>
    <row r="1657" ht="14.25" customHeight="1">
      <c r="D1657" s="5"/>
    </row>
    <row r="1658" ht="14.25" customHeight="1">
      <c r="D1658" s="5"/>
    </row>
    <row r="1659" ht="14.25" customHeight="1">
      <c r="D1659" s="5"/>
    </row>
    <row r="1660" ht="14.25" customHeight="1">
      <c r="D1660" s="5"/>
    </row>
    <row r="1661" ht="14.25" customHeight="1">
      <c r="D1661" s="5"/>
    </row>
    <row r="1662" ht="14.25" customHeight="1">
      <c r="D1662" s="5"/>
    </row>
    <row r="1663" ht="14.25" customHeight="1">
      <c r="D1663" s="5"/>
    </row>
    <row r="1664" ht="14.25" customHeight="1">
      <c r="D1664" s="5"/>
    </row>
    <row r="1665" ht="14.25" customHeight="1">
      <c r="D1665" s="5"/>
    </row>
    <row r="1666" ht="14.25" customHeight="1">
      <c r="D1666" s="5"/>
    </row>
    <row r="1667" ht="14.25" customHeight="1">
      <c r="D1667" s="5"/>
    </row>
    <row r="1668" ht="14.25" customHeight="1">
      <c r="D1668" s="5"/>
    </row>
    <row r="1669" ht="14.25" customHeight="1">
      <c r="D1669" s="5"/>
    </row>
    <row r="1670" ht="14.25" customHeight="1">
      <c r="D1670" s="5"/>
    </row>
    <row r="1671" ht="14.25" customHeight="1">
      <c r="D1671" s="5"/>
    </row>
    <row r="1672" ht="14.25" customHeight="1">
      <c r="D1672" s="5"/>
    </row>
    <row r="1673" ht="14.25" customHeight="1">
      <c r="D1673" s="5"/>
    </row>
    <row r="1674" ht="14.25" customHeight="1">
      <c r="D1674" s="5"/>
    </row>
    <row r="1675" ht="14.25" customHeight="1">
      <c r="D1675" s="5"/>
    </row>
    <row r="1676" ht="14.25" customHeight="1">
      <c r="D1676" s="5"/>
    </row>
    <row r="1677" ht="14.25" customHeight="1">
      <c r="D1677" s="5"/>
    </row>
    <row r="1678" ht="14.25" customHeight="1">
      <c r="D1678" s="5"/>
    </row>
    <row r="1679" ht="14.25" customHeight="1">
      <c r="D1679" s="5"/>
    </row>
    <row r="1680" ht="14.25" customHeight="1">
      <c r="D1680" s="5"/>
    </row>
    <row r="1681" ht="14.25" customHeight="1">
      <c r="D1681" s="5"/>
    </row>
    <row r="1682" ht="14.25" customHeight="1">
      <c r="D1682" s="5"/>
    </row>
    <row r="1683" ht="14.25" customHeight="1">
      <c r="D1683" s="5"/>
    </row>
    <row r="1684" ht="14.25" customHeight="1">
      <c r="D1684" s="5"/>
    </row>
    <row r="1685" ht="14.25" customHeight="1">
      <c r="D1685" s="5"/>
    </row>
    <row r="1686" ht="14.25" customHeight="1">
      <c r="D1686" s="5"/>
    </row>
    <row r="1687" ht="14.25" customHeight="1">
      <c r="D1687" s="5"/>
    </row>
    <row r="1688" ht="14.25" customHeight="1">
      <c r="D1688" s="5"/>
    </row>
    <row r="1689" ht="14.25" customHeight="1">
      <c r="D1689" s="5"/>
    </row>
    <row r="1690" ht="14.25" customHeight="1">
      <c r="D1690" s="5"/>
    </row>
    <row r="1691" ht="14.25" customHeight="1">
      <c r="D1691" s="5"/>
    </row>
    <row r="1692" ht="14.25" customHeight="1">
      <c r="D1692" s="5"/>
    </row>
    <row r="1693" ht="14.25" customHeight="1">
      <c r="D1693" s="5"/>
    </row>
    <row r="1694" ht="14.25" customHeight="1">
      <c r="D1694" s="5"/>
    </row>
    <row r="1695" ht="14.25" customHeight="1">
      <c r="D1695" s="5"/>
    </row>
    <row r="1696" ht="14.25" customHeight="1">
      <c r="D1696" s="5"/>
    </row>
    <row r="1697" ht="14.25" customHeight="1">
      <c r="D1697" s="5"/>
    </row>
    <row r="1698" ht="14.25" customHeight="1">
      <c r="D1698" s="5"/>
    </row>
    <row r="1699" ht="14.25" customHeight="1">
      <c r="D1699" s="5"/>
    </row>
    <row r="1700" ht="14.25" customHeight="1">
      <c r="D1700" s="5"/>
    </row>
    <row r="1701" ht="14.25" customHeight="1">
      <c r="D1701" s="5"/>
    </row>
    <row r="1702" ht="14.25" customHeight="1">
      <c r="D1702" s="5"/>
    </row>
    <row r="1703" ht="14.25" customHeight="1">
      <c r="D1703" s="5"/>
    </row>
    <row r="1704" ht="14.25" customHeight="1">
      <c r="D1704" s="5"/>
    </row>
    <row r="1705" ht="14.25" customHeight="1">
      <c r="D1705" s="5"/>
    </row>
    <row r="1706" ht="14.25" customHeight="1">
      <c r="D1706" s="5"/>
    </row>
    <row r="1707" ht="14.25" customHeight="1">
      <c r="D1707" s="5"/>
    </row>
    <row r="1708" ht="14.25" customHeight="1">
      <c r="D1708" s="5"/>
    </row>
    <row r="1709" ht="14.25" customHeight="1">
      <c r="D1709" s="5"/>
    </row>
    <row r="1710" ht="14.25" customHeight="1">
      <c r="D1710" s="5"/>
    </row>
    <row r="1711" ht="14.25" customHeight="1">
      <c r="D1711" s="5"/>
    </row>
    <row r="1712" ht="14.25" customHeight="1">
      <c r="D1712" s="5"/>
    </row>
    <row r="1713" ht="14.25" customHeight="1">
      <c r="D1713" s="5"/>
    </row>
    <row r="1714" ht="14.25" customHeight="1">
      <c r="D1714" s="5"/>
    </row>
    <row r="1715" ht="14.25" customHeight="1">
      <c r="D1715" s="5"/>
    </row>
    <row r="1716" ht="14.25" customHeight="1">
      <c r="D1716" s="5"/>
    </row>
    <row r="1717" ht="14.25" customHeight="1">
      <c r="D1717" s="5"/>
    </row>
    <row r="1718" ht="14.25" customHeight="1">
      <c r="D1718" s="5"/>
    </row>
    <row r="1719" ht="14.25" customHeight="1">
      <c r="D1719" s="5"/>
    </row>
    <row r="1720" ht="14.25" customHeight="1">
      <c r="D1720" s="5"/>
    </row>
    <row r="1721" ht="14.25" customHeight="1">
      <c r="D1721" s="5"/>
    </row>
    <row r="1722" ht="14.25" customHeight="1">
      <c r="D1722" s="5"/>
    </row>
    <row r="1723" ht="14.25" customHeight="1">
      <c r="D1723" s="5"/>
    </row>
    <row r="1724" ht="14.25" customHeight="1">
      <c r="D1724" s="5"/>
    </row>
    <row r="1725" ht="14.25" customHeight="1">
      <c r="D1725" s="5"/>
    </row>
    <row r="1726" ht="14.25" customHeight="1">
      <c r="D1726" s="5"/>
    </row>
    <row r="1727" ht="14.25" customHeight="1">
      <c r="D1727" s="5"/>
    </row>
    <row r="1728" ht="14.25" customHeight="1">
      <c r="D1728" s="5"/>
    </row>
    <row r="1729" ht="14.25" customHeight="1">
      <c r="D1729" s="5"/>
    </row>
    <row r="1730" ht="14.25" customHeight="1">
      <c r="D1730" s="5"/>
    </row>
    <row r="1731" ht="14.25" customHeight="1">
      <c r="D1731" s="5"/>
    </row>
    <row r="1732" ht="14.25" customHeight="1">
      <c r="D1732" s="5"/>
    </row>
    <row r="1733" ht="14.25" customHeight="1">
      <c r="D1733" s="5"/>
    </row>
    <row r="1734" ht="14.25" customHeight="1">
      <c r="D1734" s="5"/>
    </row>
    <row r="1735" ht="14.25" customHeight="1">
      <c r="D1735" s="5"/>
    </row>
  </sheetData>
  <autoFilter ref="$A$1:$P$746">
    <sortState ref="A1:P746">
      <sortCondition ref="A1:A746"/>
      <sortCondition ref="B1:B746"/>
      <sortCondition ref="D1:D746"/>
    </sortState>
  </autoFilter>
  <hyperlinks>
    <hyperlink r:id="rId1" ref="J38"/>
    <hyperlink r:id="rId2" ref="J45"/>
    <hyperlink r:id="rId3" ref="J54"/>
    <hyperlink r:id="rId4" ref="J463"/>
    <hyperlink r:id="rId5" ref="J516"/>
    <hyperlink r:id="rId6" ref="J620"/>
  </hyperlinks>
  <printOptions/>
  <pageMargins bottom="0.75" footer="0.0" header="0.0" left="0.7" right="0.7" top="0.75"/>
  <pageSetup orientation="portrait"/>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14"/>
    <col customWidth="1" min="2" max="2" width="28.43"/>
    <col customWidth="1" min="3" max="3" width="29.14"/>
    <col customWidth="1" min="4" max="4" width="30.86"/>
    <col customWidth="1" min="5" max="5" width="54.14"/>
    <col customWidth="1" min="6" max="6" width="17.29"/>
    <col customWidth="1" min="7" max="7" width="17.43"/>
  </cols>
  <sheetData>
    <row r="1">
      <c r="A1" s="22" t="s">
        <v>2480</v>
      </c>
      <c r="B1" s="22" t="s">
        <v>2481</v>
      </c>
      <c r="C1" s="22" t="s">
        <v>2482</v>
      </c>
      <c r="D1" s="22" t="s">
        <v>2483</v>
      </c>
      <c r="E1" s="22" t="s">
        <v>2484</v>
      </c>
      <c r="F1" s="22" t="s">
        <v>2485</v>
      </c>
      <c r="G1" s="22" t="s">
        <v>2486</v>
      </c>
      <c r="H1" s="23"/>
      <c r="I1" s="23"/>
      <c r="J1" s="23"/>
      <c r="K1" s="23"/>
      <c r="L1" s="23"/>
      <c r="M1" s="23"/>
      <c r="N1" s="23"/>
      <c r="O1" s="23"/>
      <c r="P1" s="23"/>
      <c r="Q1" s="23"/>
      <c r="R1" s="23"/>
      <c r="S1" s="23"/>
      <c r="T1" s="23"/>
      <c r="U1" s="23"/>
      <c r="V1" s="23"/>
      <c r="W1" s="23"/>
      <c r="X1" s="23"/>
      <c r="Y1" s="23"/>
      <c r="Z1" s="23"/>
      <c r="AA1" s="23"/>
    </row>
    <row r="2">
      <c r="A2" s="24" t="s">
        <v>2487</v>
      </c>
      <c r="B2" s="24" t="s">
        <v>2488</v>
      </c>
      <c r="C2" s="24" t="s">
        <v>2489</v>
      </c>
      <c r="D2" s="24" t="s">
        <v>2490</v>
      </c>
      <c r="E2" s="25" t="s">
        <v>2491</v>
      </c>
      <c r="F2" s="6" t="s">
        <v>725</v>
      </c>
      <c r="G2" s="6" t="s">
        <v>2492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5.43"/>
    <col customWidth="1" min="2" max="2" width="16.14"/>
    <col customWidth="1" min="3" max="3" width="17.14"/>
    <col customWidth="1" min="4" max="4" width="11.14"/>
    <col customWidth="1" min="5" max="5" width="12.0"/>
    <col customWidth="1" min="6" max="26" width="8.71"/>
  </cols>
  <sheetData>
    <row r="1" ht="14.25" customHeight="1">
      <c r="B1" s="26" t="s">
        <v>12</v>
      </c>
      <c r="C1" s="26" t="s">
        <v>13</v>
      </c>
      <c r="D1" s="26" t="s">
        <v>14</v>
      </c>
      <c r="E1" s="27" t="s">
        <v>2493</v>
      </c>
    </row>
    <row r="2" ht="14.25" customHeight="1">
      <c r="A2" s="28" t="s">
        <v>2494</v>
      </c>
    </row>
    <row r="3" ht="14.25" customHeight="1">
      <c r="A3" s="4" t="s">
        <v>2495</v>
      </c>
      <c r="B3" s="4">
        <f>SUM(iNaturalist_Experts_US_Canada!M2:M742)</f>
        <v>4239609</v>
      </c>
      <c r="C3" s="4">
        <f>SUM(iNaturalist_Experts_US_Canada!N2:N742)</f>
        <v>29816516</v>
      </c>
    </row>
    <row r="4" ht="14.25" customHeight="1">
      <c r="A4" s="4" t="s">
        <v>2496</v>
      </c>
      <c r="B4" s="4">
        <f>COUNTIF(iNaturalist_Experts_US_Canada!M2:M742,"&gt;0")</f>
        <v>678</v>
      </c>
      <c r="C4" s="4">
        <f>COUNTIF(iNaturalist_Experts_US_Canada!N2:N742,"&gt;0")</f>
        <v>637</v>
      </c>
      <c r="D4" s="4">
        <f>COUNTIF(iNaturalist_Experts_US_Canada!O2:O742,"&gt;0")</f>
        <v>671</v>
      </c>
      <c r="E4" s="4">
        <f>COUNTIF(iNaturalist_Experts_US_Canada!P2:P742,"Curator")</f>
        <v>139</v>
      </c>
    </row>
    <row r="5" ht="14.25" customHeight="1">
      <c r="A5" s="4" t="s">
        <v>2497</v>
      </c>
      <c r="B5" s="29">
        <f>AVERAGE(iNaturalist_Experts_US_Canada!M2:M742)</f>
        <v>5776.03406</v>
      </c>
      <c r="C5" s="29">
        <f>AVERAGE(iNaturalist_Experts_US_Canada!N2:N742)</f>
        <v>40621.9564</v>
      </c>
      <c r="D5" s="29">
        <f>AVERAGE(iNaturalist_Experts_US_Canada!O2:O742)</f>
        <v>1109.113079</v>
      </c>
    </row>
    <row r="6" ht="14.25" customHeight="1"/>
    <row r="7" ht="14.25" customHeight="1">
      <c r="A7" s="30" t="s">
        <v>2498</v>
      </c>
    </row>
    <row r="8" ht="14.25" customHeight="1">
      <c r="A8" s="4" t="s">
        <v>2495</v>
      </c>
      <c r="B8" s="4">
        <f>SUM(iNaturalist_Experts_US_Canada!M333:M742)</f>
        <v>2265105</v>
      </c>
      <c r="C8" s="4">
        <f>SUM(iNaturalist_Experts_US_Canada!N333:N742)</f>
        <v>17308918</v>
      </c>
    </row>
    <row r="9" ht="14.25" customHeight="1">
      <c r="A9" s="4" t="s">
        <v>2496</v>
      </c>
      <c r="B9" s="4">
        <f>COUNTIF(iNaturalist_Experts_US_Canada!M333:M742,"&gt;0")</f>
        <v>371</v>
      </c>
      <c r="C9" s="4">
        <f>COUNTIF(iNaturalist_Experts_US_Canada!N333:N742,"&gt;0")</f>
        <v>346</v>
      </c>
      <c r="D9" s="4">
        <f>COUNTIF(iNaturalist_Experts_US_Canada!O333:O742,"&gt;0")</f>
        <v>366</v>
      </c>
      <c r="E9" s="4">
        <f>COUNTIF(iNaturalist_Experts_US_Canada!P333:P742,"Curator")</f>
        <v>73</v>
      </c>
    </row>
    <row r="10" ht="14.25" customHeight="1">
      <c r="A10" s="4" t="s">
        <v>2497</v>
      </c>
      <c r="B10" s="29">
        <f>AVERAGE(iNaturalist_Experts_US_Canada!M333:M742)</f>
        <v>5579.076355</v>
      </c>
      <c r="C10" s="29">
        <f>AVERAGE(iNaturalist_Experts_US_Canada!N333:N742)</f>
        <v>42632.80296</v>
      </c>
      <c r="D10" s="29">
        <f>AVERAGE(iNaturalist_Experts_US_Canada!O333:O742)</f>
        <v>1050.94335</v>
      </c>
    </row>
    <row r="11" ht="14.25" customHeight="1"/>
    <row r="12" ht="14.25" customHeight="1">
      <c r="A12" s="28" t="s">
        <v>2499</v>
      </c>
    </row>
    <row r="13" ht="14.25" customHeight="1">
      <c r="A13" s="4" t="s">
        <v>2495</v>
      </c>
      <c r="B13" s="4">
        <f>SUM(iNaturalist_Experts_US_Canada!M2:M331)</f>
        <v>1973892</v>
      </c>
      <c r="C13" s="4">
        <f>SUM(iNaturalist_Experts_US_Canada!N2:N331)</f>
        <v>12503573</v>
      </c>
    </row>
    <row r="14" ht="14.25" customHeight="1">
      <c r="A14" s="4" t="s">
        <v>2496</v>
      </c>
      <c r="B14" s="4">
        <f>COUNTIF(iNaturalist_Experts_US_Canada!M2:M331,"&gt;0")</f>
        <v>306</v>
      </c>
      <c r="C14" s="4">
        <f>COUNTIF(iNaturalist_Experts_US_Canada!N2:N331,"&gt;0")</f>
        <v>290</v>
      </c>
      <c r="D14" s="4">
        <f>COUNTIF(iNaturalist_Experts_US_Canada!O2:O331,"&gt;0")</f>
        <v>304</v>
      </c>
      <c r="E14" s="4">
        <f>COUNTIF(iNaturalist_Experts_US_Canada!P2:P331,"Curator")</f>
        <v>66</v>
      </c>
    </row>
    <row r="15" ht="14.25" customHeight="1">
      <c r="A15" s="4" t="s">
        <v>2497</v>
      </c>
      <c r="B15" s="29">
        <f>AVERAGE(iNaturalist_Experts_US_Canada!M2:M331)</f>
        <v>6036.366972</v>
      </c>
      <c r="C15" s="29">
        <f>AVERAGE(iNaturalist_Experts_US_Canada!N2:N331)</f>
        <v>38237.2263</v>
      </c>
      <c r="D15" s="29">
        <f>AVERAGE(iNaturalist_Experts_US_Canada!O2:O331)</f>
        <v>1183.061162</v>
      </c>
    </row>
    <row r="16" ht="14.25" customHeight="1"/>
    <row r="17" ht="14.25" customHeight="1">
      <c r="A17" s="31" t="s">
        <v>2500</v>
      </c>
      <c r="B17" s="6" t="s">
        <v>2501</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